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2" sheetId="6" state="visible" r:id="rId6"/>
    <sheet name="20261021" sheetId="7" state="visible" r:id="rId7"/>
    <sheet name="20261020" sheetId="8" state="visible" r:id="rId8"/>
    <sheet name="20261019" sheetId="9" state="visible" r:id="rId9"/>
    <sheet name="20261016" sheetId="10" state="visible" r:id="rId10"/>
    <sheet name="20261015" sheetId="11" state="visible" r:id="rId11"/>
    <sheet name="20261014" sheetId="12" state="visible" r:id="rId12"/>
    <sheet name="20261013" sheetId="13" state="visible" r:id="rId13"/>
    <sheet name="20261012" sheetId="14" state="visible" r:id="rId14"/>
    <sheet name="20261008" sheetId="15" state="visible" r:id="rId15"/>
    <sheet name="20261007" sheetId="16" state="visible" r:id="rId16"/>
    <sheet name="20261006" sheetId="17" state="visible" r:id="rId17"/>
    <sheet name="20261005" sheetId="18" state="visible" r:id="rId18"/>
    <sheet name="20261002" sheetId="19" state="visible" r:id="rId19"/>
    <sheet name="202610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82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  <numFmt numFmtId="243" formatCode="0&quot; 檔 +81億 &quot;&quot;(昨13/5d13)&quot;"/>
    <numFmt numFmtId="244" formatCode="0.0%&quot; 市-1696億 &quot;&quot;(昨19/5d22)&quot;"/>
    <numFmt numFmtId="245" formatCode="0.0%&quot; 市-1695億 &quot;&quot;(昨19/5d22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176" fontId="4" fillId="5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59.9%
  • 領頭金額 61,392 萬
  • 合計淨買 102,513 萬
  • 大戶數 10 位 (名義共識)
判讀: 名義 10 位大戶共識,
實質 1 人下注佔 60%,
剩餘 9 位為陪襯小單,
真共識訊號被稀釋.</t>
      </text>
    </comment>
    <comment ref="D24" authorId="0" shapeId="0">
      <text>
        <t>⚠️ 假共識警示
領頭大戶「陳族元」獨佔比 61.0%
  • 領頭金額 15,108 萬
  • 合計淨買 24,763 萬
  • 大戶數 11 位 (名義共識)
判讀: 名義 11 位大戶共識,
實質 1 人下注佔 61%,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2026/10/22 (追蹤 13 位大戶)</t>
        </is>
      </c>
    </row>
    <row r="3" ht="24" customHeight="1">
      <c r="B3" s="2" t="inlineStr">
        <is>
          <t>🎯 11 強共識 / Q5 ↓ 偏空 10% / E 8 異常 / F 6 長期 / J 0 集中 / H 1 借券壓力</t>
        </is>
      </c>
    </row>
    <row r="4" ht="22" customHeight="1">
      <c r="B4" s="3" t="inlineStr">
        <is>
          <t>💡 📌 一般共識 2330 / 6213 / 3711 (Q5 偏空, 中性信號)  |  避開 — 明日恐處置 3 檔: 3625/4304/4971  |  訊號: 強偏空 (Q5 10%,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45.5% = -5.3pp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電子零組件業 5 (45%)  |  半導體業 4 (36%)  |  塑膠工業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30</v>
      </c>
      <c r="G16" s="16" t="inlineStr">
        <is>
          <t>張濬安</t>
        </is>
      </c>
      <c r="H16" s="17" t="n">
        <v>111602</v>
      </c>
      <c r="I16" t="inlineStr">
        <is>
          <t>陳族元</t>
        </is>
      </c>
      <c r="J16" s="18" t="n">
        <v>81011</v>
      </c>
      <c r="K16" t="inlineStr">
        <is>
          <t>林滄海</t>
        </is>
      </c>
      <c r="L16" s="18" t="n">
        <v>40812</v>
      </c>
      <c r="M16" s="19" t="n">
        <v>10</v>
      </c>
      <c r="N16" s="17" t="n">
        <v>305874</v>
      </c>
    </row>
    <row r="17">
      <c r="B17" s="13" t="n">
        <v>2</v>
      </c>
      <c r="C17" t="inlineStr">
        <is>
          <t>6213</t>
        </is>
      </c>
      <c r="D17" s="21" t="inlineStr">
        <is>
          <t>📌 ⚠️ 聯茂</t>
        </is>
      </c>
      <c r="E17" s="14" t="n">
        <v>10</v>
      </c>
      <c r="F17" s="15" t="n">
        <v>18</v>
      </c>
      <c r="G17" s="16" t="inlineStr">
        <is>
          <t>張濬安</t>
        </is>
      </c>
      <c r="H17" s="17" t="n">
        <v>61392</v>
      </c>
      <c r="I17" t="inlineStr">
        <is>
          <t>陳族元</t>
        </is>
      </c>
      <c r="J17" s="18" t="n">
        <v>15559</v>
      </c>
      <c r="K17" t="inlineStr">
        <is>
          <t>蔣承翰</t>
        </is>
      </c>
      <c r="L17" s="18" t="n">
        <v>12948</v>
      </c>
      <c r="M17" s="19" t="n">
        <v>7</v>
      </c>
      <c r="N17" s="17" t="n">
        <v>102513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32792</v>
      </c>
      <c r="I18" t="inlineStr">
        <is>
          <t>張濬安</t>
        </is>
      </c>
      <c r="J18" s="18" t="n">
        <v>24677</v>
      </c>
      <c r="K18" t="inlineStr">
        <is>
          <t>強森</t>
        </is>
      </c>
      <c r="L18" s="18" t="n">
        <v>4675</v>
      </c>
      <c r="M18" s="19" t="n">
        <v>7</v>
      </c>
      <c r="N18" s="17" t="n">
        <v>71225</v>
      </c>
    </row>
    <row r="19">
      <c r="B19" t="n">
        <v>4</v>
      </c>
      <c r="C19" t="inlineStr">
        <is>
          <t>1303</t>
        </is>
      </c>
      <c r="D19" t="inlineStr">
        <is>
          <t>📌 南亞</t>
        </is>
      </c>
      <c r="E19" s="14" t="n">
        <v>11</v>
      </c>
      <c r="F19" s="15" t="n">
        <v>23</v>
      </c>
      <c r="G19" s="16" t="inlineStr">
        <is>
          <t>林滄海</t>
        </is>
      </c>
      <c r="H19" s="17" t="n">
        <v>23979</v>
      </c>
      <c r="I19" t="inlineStr">
        <is>
          <t>陳族元</t>
        </is>
      </c>
      <c r="J19" s="18" t="n">
        <v>13692</v>
      </c>
      <c r="K19" t="inlineStr">
        <is>
          <t>巨人傑</t>
        </is>
      </c>
      <c r="L19" s="18" t="n">
        <v>5359</v>
      </c>
      <c r="M19" s="19" t="n">
        <v>8</v>
      </c>
      <c r="N19" s="17" t="n">
        <v>58175</v>
      </c>
    </row>
    <row r="20">
      <c r="B20" t="n">
        <v>5</v>
      </c>
      <c r="C20" t="inlineStr">
        <is>
          <t>2454</t>
        </is>
      </c>
      <c r="D20" t="inlineStr">
        <is>
          <t>📌 聯發科</t>
        </is>
      </c>
      <c r="E20" s="14" t="n">
        <v>13</v>
      </c>
      <c r="F20" s="15" t="n">
        <v>29</v>
      </c>
      <c r="G20" s="16" t="inlineStr">
        <is>
          <t>陳族元</t>
        </is>
      </c>
      <c r="H20" s="17" t="n">
        <v>20054</v>
      </c>
      <c r="I20" t="inlineStr">
        <is>
          <t>張濬安</t>
        </is>
      </c>
      <c r="J20" s="18" t="n">
        <v>10923</v>
      </c>
      <c r="K20" t="inlineStr">
        <is>
          <t>林滄海</t>
        </is>
      </c>
      <c r="L20" s="18" t="n">
        <v>5662</v>
      </c>
      <c r="M20" s="19" t="n">
        <v>10</v>
      </c>
      <c r="N20" s="17" t="n">
        <v>56642</v>
      </c>
    </row>
    <row r="21">
      <c r="B21" t="n">
        <v>6</v>
      </c>
      <c r="C21" t="inlineStr">
        <is>
          <t>2308</t>
        </is>
      </c>
      <c r="D21" t="inlineStr">
        <is>
          <t>📌 台達電</t>
        </is>
      </c>
      <c r="E21" s="14" t="n">
        <v>13</v>
      </c>
      <c r="F21" s="15" t="n">
        <v>29</v>
      </c>
      <c r="G21" s="16" t="inlineStr">
        <is>
          <t>陳族元</t>
        </is>
      </c>
      <c r="H21" s="17" t="n">
        <v>12318</v>
      </c>
      <c r="I21" t="inlineStr">
        <is>
          <t>強森</t>
        </is>
      </c>
      <c r="J21" s="18" t="n">
        <v>10983</v>
      </c>
      <c r="K21" t="inlineStr">
        <is>
          <t>張濬安</t>
        </is>
      </c>
      <c r="L21" s="18" t="n">
        <v>9097</v>
      </c>
      <c r="M21" s="19" t="n">
        <v>10</v>
      </c>
      <c r="N21" s="17" t="n">
        <v>55137</v>
      </c>
    </row>
    <row r="22">
      <c r="B22" t="n">
        <v>7</v>
      </c>
      <c r="C22" t="inlineStr">
        <is>
          <t>2327</t>
        </is>
      </c>
      <c r="D22" t="inlineStr">
        <is>
          <t>📌 國巨*</t>
        </is>
      </c>
      <c r="E22" s="14" t="n">
        <v>13</v>
      </c>
      <c r="F22" s="15" t="n">
        <v>28</v>
      </c>
      <c r="G22" s="16" t="inlineStr">
        <is>
          <t>強森</t>
        </is>
      </c>
      <c r="H22" s="17" t="n">
        <v>11588</v>
      </c>
      <c r="I22" t="inlineStr">
        <is>
          <t>張濬安</t>
        </is>
      </c>
      <c r="J22" s="18" t="n">
        <v>8418</v>
      </c>
      <c r="K22" t="inlineStr">
        <is>
          <t>陳族元</t>
        </is>
      </c>
      <c r="L22" s="18" t="n">
        <v>6689</v>
      </c>
      <c r="M22" s="19" t="n">
        <v>10</v>
      </c>
      <c r="N22" s="17" t="n">
        <v>51909</v>
      </c>
    </row>
    <row r="23">
      <c r="B23" t="n">
        <v>8</v>
      </c>
      <c r="C23" t="inlineStr">
        <is>
          <t>2492</t>
        </is>
      </c>
      <c r="D23" t="inlineStr">
        <is>
          <t>📌 華新科</t>
        </is>
      </c>
      <c r="E23" s="14" t="n">
        <v>12</v>
      </c>
      <c r="F23" s="15" t="n">
        <v>24</v>
      </c>
      <c r="G23" s="16" t="inlineStr">
        <is>
          <t>林滄海</t>
        </is>
      </c>
      <c r="H23" s="17" t="n">
        <v>13548</v>
      </c>
      <c r="I23" t="inlineStr">
        <is>
          <t>強森</t>
        </is>
      </c>
      <c r="J23" s="18" t="n">
        <v>4443</v>
      </c>
      <c r="K23" t="inlineStr">
        <is>
          <t>蔣承翰</t>
        </is>
      </c>
      <c r="L23" s="18" t="n">
        <v>4295</v>
      </c>
      <c r="M23" s="19" t="n">
        <v>9</v>
      </c>
      <c r="N23" s="17" t="n">
        <v>34723</v>
      </c>
    </row>
    <row r="24">
      <c r="B24" t="n">
        <v>9</v>
      </c>
      <c r="C24" t="inlineStr">
        <is>
          <t>2409</t>
        </is>
      </c>
      <c r="D24" s="21" t="inlineStr">
        <is>
          <t>📌 ⚠️ 友達</t>
        </is>
      </c>
      <c r="E24" s="14" t="n">
        <v>11</v>
      </c>
      <c r="F24" s="15" t="n">
        <v>25</v>
      </c>
      <c r="G24" s="16" t="inlineStr">
        <is>
          <t>陳族元</t>
        </is>
      </c>
      <c r="H24" s="17" t="n">
        <v>15108</v>
      </c>
      <c r="I24" t="inlineStr">
        <is>
          <t>張濬安</t>
        </is>
      </c>
      <c r="J24" s="18" t="n">
        <v>4282</v>
      </c>
      <c r="K24" t="inlineStr">
        <is>
          <t>民哥</t>
        </is>
      </c>
      <c r="L24" s="18" t="n">
        <v>1376</v>
      </c>
      <c r="M24" s="19" t="n">
        <v>8</v>
      </c>
      <c r="N24" s="17" t="n">
        <v>24764</v>
      </c>
    </row>
    <row r="25">
      <c r="B25" t="n">
        <v>10</v>
      </c>
      <c r="C25" t="inlineStr">
        <is>
          <t>2449</t>
        </is>
      </c>
      <c r="D25" t="inlineStr">
        <is>
          <t>📌 京元電子</t>
        </is>
      </c>
      <c r="E25" s="14" t="n">
        <v>11</v>
      </c>
      <c r="F25" s="15" t="n">
        <v>24</v>
      </c>
      <c r="G25" s="16" t="inlineStr">
        <is>
          <t>陳族元</t>
        </is>
      </c>
      <c r="H25" s="17" t="n">
        <v>5194</v>
      </c>
      <c r="I25" t="inlineStr">
        <is>
          <t>張濬安</t>
        </is>
      </c>
      <c r="J25" s="18" t="n">
        <v>3806</v>
      </c>
      <c r="K25" t="inlineStr">
        <is>
          <t>林滄海</t>
        </is>
      </c>
      <c r="L25" s="18" t="n">
        <v>2785</v>
      </c>
      <c r="M25" s="19" t="n">
        <v>8</v>
      </c>
      <c r="N25" s="17" t="n">
        <v>20867</v>
      </c>
    </row>
    <row r="26">
      <c r="B26" t="n">
        <v>11</v>
      </c>
      <c r="C26" t="inlineStr">
        <is>
          <t>2313</t>
        </is>
      </c>
      <c r="D26" t="inlineStr">
        <is>
          <t>華通</t>
        </is>
      </c>
      <c r="E26" s="14" t="n">
        <v>10</v>
      </c>
      <c r="F26" s="15" t="n">
        <v>18</v>
      </c>
      <c r="G26" s="16" t="inlineStr">
        <is>
          <t>強森</t>
        </is>
      </c>
      <c r="H26" s="17" t="n">
        <v>3212</v>
      </c>
      <c r="I26" t="inlineStr">
        <is>
          <t>林滄海</t>
        </is>
      </c>
      <c r="J26" s="18" t="n">
        <v>2346</v>
      </c>
      <c r="K26" t="inlineStr">
        <is>
          <t>陳族元</t>
        </is>
      </c>
      <c r="L26" s="18" t="n">
        <v>1670</v>
      </c>
      <c r="M26" s="19" t="n">
        <v>7</v>
      </c>
      <c r="N26" s="17" t="n">
        <v>11574</v>
      </c>
    </row>
    <row r="28" ht="22" customHeight="1">
      <c r="B28" s="22" t="inlineStr">
        <is>
          <t>▍ A. 追蹤池摘要 (10 秒判讀今日 13 位大戶在做什麼)</t>
        </is>
      </c>
    </row>
    <row r="29" ht="28" customHeight="1">
      <c r="B29" s="23" t="inlineStr">
        <is>
          <t>Q1 活躍率</t>
        </is>
      </c>
      <c r="C29" s="207" t="n">
        <v>1</v>
      </c>
      <c r="F29" s="23" t="inlineStr">
        <is>
          <t>Q2 淨買差</t>
        </is>
      </c>
      <c r="G29" s="303" t="n">
        <v>-302.14168</v>
      </c>
    </row>
    <row r="30" ht="28" customHeight="1">
      <c r="B30" s="23" t="inlineStr">
        <is>
          <t>Q3 強共識股</t>
        </is>
      </c>
      <c r="C30" s="304" t="n">
        <v>11</v>
      </c>
      <c r="F30" s="23" t="inlineStr">
        <is>
          <t>Q4 追蹤佔比</t>
        </is>
      </c>
      <c r="G30" s="307" t="n">
        <v>0.1841502753797318</v>
      </c>
    </row>
    <row r="31" ht="22" customHeight="1">
      <c r="B31" s="270" t="n">
        <v>10</v>
      </c>
    </row>
    <row r="32" ht="18" customHeight="1">
      <c r="B32" s="29" t="inlineStr">
        <is>
          <t>✅ 過去 30 天 P/C 命中率: 偏多 8/11 (73%) | 偏空 5/5 (100%) | 整體 13/16 (81%)</t>
        </is>
      </c>
    </row>
    <row r="34">
      <c r="B34" s="30" t="inlineStr">
        <is>
          <t>▍ B. Top 5 高手(按今日總買金額)</t>
        </is>
      </c>
      <c r="F34" s="31" t="inlineStr">
        <is>
          <t>▍ C. Top 5 熱門個股(按今日淨買金額)</t>
        </is>
      </c>
    </row>
    <row r="35">
      <c r="B35" s="32" t="inlineStr">
        <is>
          <t>#</t>
        </is>
      </c>
      <c r="C35" s="32" t="inlineStr">
        <is>
          <t>Master</t>
        </is>
      </c>
      <c r="D35" s="32" t="inlineStr">
        <is>
          <t>買進(萬元)</t>
        </is>
      </c>
      <c r="E35" s="32" t="inlineStr">
        <is>
          <t>佔比%</t>
        </is>
      </c>
      <c r="F35" s="32" t="inlineStr">
        <is>
          <t>#</t>
        </is>
      </c>
      <c r="G35" s="32" t="inlineStr">
        <is>
          <t>個股</t>
        </is>
      </c>
      <c r="H35" s="32" t="inlineStr">
        <is>
          <t>淨買(萬元)</t>
        </is>
      </c>
      <c r="I35" s="32" t="inlineStr">
        <is>
          <t>漲跌%</t>
        </is>
      </c>
    </row>
    <row r="36">
      <c r="B36" t="n">
        <v>1</v>
      </c>
      <c r="C36" s="33" t="inlineStr">
        <is>
          <t>張濬安(航海王)</t>
        </is>
      </c>
      <c r="D36" s="34" t="n">
        <v>1076809</v>
      </c>
      <c r="E36" t="inlineStr">
        <is>
          <t>30.1%</t>
        </is>
      </c>
      <c r="F36" t="n">
        <v>1</v>
      </c>
      <c r="G36" s="16" t="inlineStr">
        <is>
          <t>台積電(2330)</t>
        </is>
      </c>
      <c r="H36" s="34" t="n">
        <v>305874</v>
      </c>
      <c r="I36" s="230" t="n">
        <v>-0.0145</v>
      </c>
    </row>
    <row r="37">
      <c r="B37" t="n">
        <v>2</v>
      </c>
      <c r="C37" s="36" t="inlineStr">
        <is>
          <t>陳族元</t>
        </is>
      </c>
      <c r="D37" s="34" t="n">
        <v>842277</v>
      </c>
      <c r="E37" t="inlineStr">
        <is>
          <t>23.5%</t>
        </is>
      </c>
      <c r="F37" t="n">
        <v>2</v>
      </c>
      <c r="G37" s="16" t="inlineStr">
        <is>
          <t>鴻勁(7769)</t>
        </is>
      </c>
      <c r="H37" s="34" t="n">
        <v>104959</v>
      </c>
      <c r="I37" s="212" t="n">
        <v>0.0283</v>
      </c>
    </row>
    <row r="38">
      <c r="B38" t="n">
        <v>3</v>
      </c>
      <c r="C38" s="38" t="inlineStr">
        <is>
          <t>林滄海</t>
        </is>
      </c>
      <c r="D38" s="34" t="n">
        <v>384118</v>
      </c>
      <c r="E38" t="inlineStr">
        <is>
          <t>10.7%</t>
        </is>
      </c>
      <c r="F38" t="n">
        <v>3</v>
      </c>
      <c r="G38" s="16" t="inlineStr">
        <is>
          <t>聯茂(6213)</t>
        </is>
      </c>
      <c r="H38" s="34" t="n">
        <v>102513</v>
      </c>
      <c r="I38" s="230" t="n">
        <v>-0.0559</v>
      </c>
    </row>
    <row r="39">
      <c r="B39" t="n">
        <v>4</v>
      </c>
      <c r="C39" s="39" t="inlineStr">
        <is>
          <t>強森</t>
        </is>
      </c>
      <c r="D39" s="34" t="n">
        <v>276445</v>
      </c>
      <c r="E39" t="inlineStr">
        <is>
          <t>7.7%</t>
        </is>
      </c>
      <c r="F39" t="n">
        <v>4</v>
      </c>
      <c r="G39" s="16" t="inlineStr">
        <is>
          <t>日月光投控(3711)</t>
        </is>
      </c>
      <c r="H39" s="34" t="n">
        <v>71225</v>
      </c>
      <c r="I39" s="230" t="n">
        <v>-0.04389999999999999</v>
      </c>
    </row>
    <row r="40">
      <c r="B40" t="n">
        <v>5</v>
      </c>
      <c r="C40" s="51" t="inlineStr">
        <is>
          <t>蔣承翰</t>
        </is>
      </c>
      <c r="D40" s="34" t="n">
        <v>211345</v>
      </c>
      <c r="E40" t="inlineStr">
        <is>
          <t>5.9%</t>
        </is>
      </c>
      <c r="F40" t="n">
        <v>5</v>
      </c>
      <c r="G40" s="16" t="inlineStr">
        <is>
          <t>台光電(2383)</t>
        </is>
      </c>
      <c r="H40" s="34" t="n">
        <v>68194</v>
      </c>
      <c r="I40" s="212" t="n">
        <v>0.016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陳律師</t>
        </is>
      </c>
      <c r="D45" t="inlineStr">
        <is>
          <t>high</t>
        </is>
      </c>
      <c r="E45" t="inlineStr">
        <is>
          <t>陳律師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民哥</t>
        </is>
      </c>
      <c r="D46" s="41" t="inlineStr">
        <is>
          <t>high</t>
        </is>
      </c>
      <c r="E46" s="41" t="inlineStr">
        <is>
          <t>民哥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medium</t>
        </is>
      </c>
      <c r="E47" t="inlineStr">
        <is>
          <t>Tradow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medium</t>
        </is>
      </c>
      <c r="E48" s="41" t="inlineStr">
        <is>
          <t>巨人傑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medium</t>
        </is>
      </c>
      <c r="E49" t="inlineStr">
        <is>
          <t>張濬安(航海王)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強森</t>
        </is>
      </c>
      <c r="D50" s="41" t="inlineStr">
        <is>
          <t>medium</t>
        </is>
      </c>
      <c r="E50" s="41" t="inlineStr">
        <is>
          <t>強森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medium</t>
        </is>
      </c>
      <c r="E51" t="inlineStr">
        <is>
          <t>迷你哥/松山哥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3 檔新標的 (過去從沒買過)</t>
        </is>
      </c>
      <c r="F52" s="41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張濬安(航海王)</t>
        </is>
      </c>
      <c r="C56" t="inlineStr">
        <is>
          <t>2303</t>
        </is>
      </c>
      <c r="D56" s="46" t="n">
        <v>41</v>
      </c>
      <c r="E56" t="n">
        <v>1806660</v>
      </c>
      <c r="F56" t="inlineStr">
        <is>
          <t>張濬安(航海王) 連續 41 天加碼 2303 (累計 1,806,660 萬)</t>
        </is>
      </c>
    </row>
    <row r="57">
      <c r="B57" s="41" t="inlineStr">
        <is>
          <t>🔴 強森</t>
        </is>
      </c>
      <c r="C57" s="41" t="inlineStr">
        <is>
          <t>2454</t>
        </is>
      </c>
      <c r="D57" s="47" t="n">
        <v>41</v>
      </c>
      <c r="E57" s="41" t="n">
        <v>1013643</v>
      </c>
      <c r="F57" s="41" t="inlineStr">
        <is>
          <t>強森 連續 41 天加碼 2454 (累計 1,013,643 萬)</t>
        </is>
      </c>
    </row>
    <row r="58">
      <c r="B58" t="inlineStr">
        <is>
          <t>🔴 張濬安(航海王)</t>
        </is>
      </c>
      <c r="C58" t="inlineStr">
        <is>
          <t>2327</t>
        </is>
      </c>
      <c r="D58" s="46" t="n">
        <v>40</v>
      </c>
      <c r="E58" t="n">
        <v>1442965</v>
      </c>
      <c r="F58" t="inlineStr">
        <is>
          <t>張濬安(航海王) 連續 40 天加碼 2327 (累計 1,442,965 萬)</t>
        </is>
      </c>
    </row>
    <row r="59">
      <c r="B59" s="41" t="inlineStr">
        <is>
          <t>🔴 迷你哥/松山哥</t>
        </is>
      </c>
      <c r="C59" s="41" t="inlineStr">
        <is>
          <t>1303</t>
        </is>
      </c>
      <c r="D59" s="47" t="n">
        <v>39</v>
      </c>
      <c r="E59" s="41" t="n">
        <v>2378324</v>
      </c>
      <c r="F59" s="41" t="inlineStr">
        <is>
          <t>迷你哥/松山哥 連續 39 天加碼 1303 (累計 2,378,324 萬)</t>
        </is>
      </c>
    </row>
    <row r="60">
      <c r="B60" t="inlineStr">
        <is>
          <t>🔴 張濬安(航海王)</t>
        </is>
      </c>
      <c r="C60" t="inlineStr">
        <is>
          <t>2454</t>
        </is>
      </c>
      <c r="D60" s="46" t="n">
        <v>38</v>
      </c>
      <c r="E60" t="n">
        <v>1831145</v>
      </c>
      <c r="F60" t="inlineStr">
        <is>
          <t>張濬安(航海王) 連續 38 天加碼 2454 (累計 1,831,145 萬)</t>
        </is>
      </c>
    </row>
    <row r="61">
      <c r="B61" s="41" t="inlineStr">
        <is>
          <t>🔴 強森</t>
        </is>
      </c>
      <c r="C61" s="41" t="inlineStr">
        <is>
          <t>3008</t>
        </is>
      </c>
      <c r="D61" s="47" t="n">
        <v>38</v>
      </c>
      <c r="E61" s="41" t="n">
        <v>630953</v>
      </c>
      <c r="F61" s="41" t="inlineStr">
        <is>
          <t>強森 連續 38 天加碼 3008 (累計 630,953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3" t="inlineStr">
        <is>
          <t>張濬安(航海王)</t>
        </is>
      </c>
      <c r="C65" s="34" t="n">
        <v>963956</v>
      </c>
      <c r="D65" t="inlineStr">
        <is>
          <t>台積電(2330)</t>
        </is>
      </c>
      <c r="E65" s="34" t="n">
        <v>125687</v>
      </c>
      <c r="F65" t="inlineStr">
        <is>
          <t>聯茂(6213)</t>
        </is>
      </c>
      <c r="G65" s="34" t="n">
        <v>105058</v>
      </c>
      <c r="H65" t="inlineStr">
        <is>
          <t>台燿(6274)</t>
        </is>
      </c>
      <c r="I65" s="34" t="n">
        <v>89492</v>
      </c>
      <c r="J65" s="213" t="n">
        <v>0.3322113594615687</v>
      </c>
    </row>
    <row r="66">
      <c r="B66" s="36" t="inlineStr">
        <is>
          <t>陳族元</t>
        </is>
      </c>
      <c r="C66" s="34" t="n">
        <v>776696</v>
      </c>
      <c r="D66" t="inlineStr">
        <is>
          <t>台積電(2330)</t>
        </is>
      </c>
      <c r="E66" s="34" t="n">
        <v>94950</v>
      </c>
      <c r="F66" t="inlineStr">
        <is>
          <t>鴻勁(7769)</t>
        </is>
      </c>
      <c r="G66" s="34" t="n">
        <v>72539</v>
      </c>
      <c r="H66" t="inlineStr">
        <is>
          <t>台光電(2383)</t>
        </is>
      </c>
      <c r="I66" s="34" t="n">
        <v>53167</v>
      </c>
      <c r="J66" s="213" t="n">
        <v>0.2840967921147992</v>
      </c>
    </row>
    <row r="67">
      <c r="B67" s="38" t="inlineStr">
        <is>
          <t>林滄海</t>
        </is>
      </c>
      <c r="C67" s="34" t="n">
        <v>351301</v>
      </c>
      <c r="D67" t="inlineStr">
        <is>
          <t>台積電(2330)</t>
        </is>
      </c>
      <c r="E67" s="34" t="n">
        <v>51508</v>
      </c>
      <c r="F67" t="inlineStr">
        <is>
          <t>南亞(1303)</t>
        </is>
      </c>
      <c r="G67" s="34" t="n">
        <v>31533</v>
      </c>
      <c r="H67" t="inlineStr">
        <is>
          <t>富喬(1815)</t>
        </is>
      </c>
      <c r="I67" s="34" t="n">
        <v>18416</v>
      </c>
      <c r="J67" s="213" t="n">
        <v>0.2888056933529063</v>
      </c>
    </row>
    <row r="68">
      <c r="B68" s="39" t="inlineStr">
        <is>
          <t>強森</t>
        </is>
      </c>
      <c r="C68" s="34" t="n">
        <v>241728</v>
      </c>
      <c r="D68" t="inlineStr">
        <is>
          <t>台積電(2330)</t>
        </is>
      </c>
      <c r="E68" s="34" t="n">
        <v>26347</v>
      </c>
      <c r="F68" t="inlineStr">
        <is>
          <t>奇鋐(3017)</t>
        </is>
      </c>
      <c r="G68" s="34" t="n">
        <v>17034</v>
      </c>
      <c r="H68" t="inlineStr">
        <is>
          <t>國巨*(2327)</t>
        </is>
      </c>
      <c r="I68" s="34" t="n">
        <v>15451</v>
      </c>
      <c r="J68" s="213" t="n">
        <v>0.2433789327195315</v>
      </c>
    </row>
    <row r="69">
      <c r="B69" s="51" t="inlineStr">
        <is>
          <t>蔣承翰</t>
        </is>
      </c>
      <c r="C69" s="34" t="n">
        <v>180402</v>
      </c>
      <c r="D69" t="inlineStr">
        <is>
          <t>華經(2468)</t>
        </is>
      </c>
      <c r="E69" s="34" t="n">
        <v>27312</v>
      </c>
      <c r="F69" t="inlineStr">
        <is>
          <t>聯茂(6213)</t>
        </is>
      </c>
      <c r="G69" s="34" t="n">
        <v>19082</v>
      </c>
      <c r="H69" t="inlineStr">
        <is>
          <t>GIS-KY(6456)</t>
        </is>
      </c>
      <c r="I69" s="34" t="n">
        <v>17045</v>
      </c>
      <c r="J69" s="213" t="n">
        <v>0.3516503983605494</v>
      </c>
    </row>
    <row r="70">
      <c r="B70" s="53" t="inlineStr">
        <is>
          <t>竹科主力分點</t>
        </is>
      </c>
      <c r="C70" s="34" t="n">
        <v>139928</v>
      </c>
      <c r="D70" t="inlineStr">
        <is>
          <t>台積電(2330)</t>
        </is>
      </c>
      <c r="E70" s="34" t="n">
        <v>27089</v>
      </c>
      <c r="F70" t="inlineStr">
        <is>
          <t>臻鼎-KY(4958)</t>
        </is>
      </c>
      <c r="G70" s="34" t="n">
        <v>9156</v>
      </c>
      <c r="H70" t="inlineStr">
        <is>
          <t>國巨*(2327)</t>
        </is>
      </c>
      <c r="I70" s="34" t="n">
        <v>9087</v>
      </c>
      <c r="J70" s="213" t="n">
        <v>0.3239703961191359</v>
      </c>
    </row>
    <row r="71">
      <c r="B71" s="37" t="inlineStr">
        <is>
          <t>陳律師</t>
        </is>
      </c>
      <c r="C71" s="34" t="n">
        <v>123721</v>
      </c>
      <c r="D71" t="inlineStr">
        <is>
          <t>臻鼎-KY(4958)</t>
        </is>
      </c>
      <c r="E71" s="34" t="n">
        <v>10679</v>
      </c>
      <c r="F71" t="inlineStr">
        <is>
          <t>聯茂(6213)</t>
        </is>
      </c>
      <c r="G71" s="34" t="n">
        <v>10316</v>
      </c>
      <c r="H71" t="inlineStr">
        <is>
          <t>雙鴻(3324)</t>
        </is>
      </c>
      <c r="I71" s="34" t="n">
        <v>9180</v>
      </c>
      <c r="J71" s="213" t="n">
        <v>0.2438977668320117</v>
      </c>
    </row>
    <row r="72">
      <c r="B72" s="55" t="inlineStr">
        <is>
          <t>大牌分析師</t>
        </is>
      </c>
      <c r="C72" s="34" t="n">
        <v>91734</v>
      </c>
      <c r="D72" t="inlineStr">
        <is>
          <t>台積電(2330)</t>
        </is>
      </c>
      <c r="E72" s="34" t="n">
        <v>10908</v>
      </c>
      <c r="F72" t="inlineStr">
        <is>
          <t>華新科(2492)</t>
        </is>
      </c>
      <c r="G72" s="34" t="n">
        <v>7652</v>
      </c>
      <c r="H72" t="inlineStr">
        <is>
          <t>國巨*(2327)</t>
        </is>
      </c>
      <c r="I72" s="34" t="n">
        <v>5891</v>
      </c>
      <c r="J72" s="213" t="n">
        <v>0.2665372343266775</v>
      </c>
    </row>
    <row r="73">
      <c r="B73" s="54" t="inlineStr">
        <is>
          <t>巨人傑</t>
        </is>
      </c>
      <c r="C73" s="34" t="n">
        <v>90463</v>
      </c>
      <c r="D73" t="inlineStr">
        <is>
          <t>台光電(2383)</t>
        </is>
      </c>
      <c r="E73" s="34" t="n">
        <v>8794</v>
      </c>
      <c r="F73" t="inlineStr">
        <is>
          <t>南亞(1303)</t>
        </is>
      </c>
      <c r="G73" s="34" t="n">
        <v>7791</v>
      </c>
      <c r="H73" t="inlineStr">
        <is>
          <t>臻鼎-KY(4958)</t>
        </is>
      </c>
      <c r="I73" s="34" t="n">
        <v>7066</v>
      </c>
      <c r="J73" s="213" t="n">
        <v>0.2614502487754676</v>
      </c>
    </row>
    <row r="74">
      <c r="B74" s="52" t="inlineStr">
        <is>
          <t>民哥</t>
        </is>
      </c>
      <c r="C74" s="34" t="n">
        <v>88195</v>
      </c>
      <c r="D74" t="inlineStr">
        <is>
          <t>台光電(2383)</t>
        </is>
      </c>
      <c r="E74" s="34" t="n">
        <v>11566</v>
      </c>
      <c r="F74" t="inlineStr">
        <is>
          <t>台積電(2330)</t>
        </is>
      </c>
      <c r="G74" s="34" t="n">
        <v>9426</v>
      </c>
      <c r="H74" t="inlineStr">
        <is>
          <t>東台(4526)</t>
        </is>
      </c>
      <c r="I74" s="34" t="n">
        <v>6768</v>
      </c>
      <c r="J74" s="213" t="n">
        <v>0.3147544478094588</v>
      </c>
    </row>
    <row r="75">
      <c r="B75" s="57" t="inlineStr">
        <is>
          <t>布哥/n_nchang</t>
        </is>
      </c>
      <c r="C75" s="34" t="n">
        <v>56369</v>
      </c>
      <c r="D75" t="inlineStr">
        <is>
          <t>台積電(2330)</t>
        </is>
      </c>
      <c r="E75" s="34" t="n">
        <v>9908</v>
      </c>
      <c r="F75" t="inlineStr">
        <is>
          <t>聯茂(6213)</t>
        </is>
      </c>
      <c r="G75" s="34" t="n">
        <v>9602</v>
      </c>
      <c r="H75" t="inlineStr">
        <is>
          <t>國巨*(2327)</t>
        </is>
      </c>
      <c r="I75" s="34" t="n">
        <v>4172</v>
      </c>
      <c r="J75" s="213" t="n">
        <v>0.4201301419924356</v>
      </c>
    </row>
    <row r="76">
      <c r="B76" s="56" t="inlineStr">
        <is>
          <t>Tradow</t>
        </is>
      </c>
      <c r="C76" s="34" t="n">
        <v>42376</v>
      </c>
      <c r="D76" t="inlineStr">
        <is>
          <t>台積電(2330)</t>
        </is>
      </c>
      <c r="E76" s="34" t="n">
        <v>3930</v>
      </c>
      <c r="F76" t="inlineStr">
        <is>
          <t>聯發科(2454)</t>
        </is>
      </c>
      <c r="G76" s="34" t="n">
        <v>3492</v>
      </c>
      <c r="H76" t="inlineStr">
        <is>
          <t>大世科(8099)</t>
        </is>
      </c>
      <c r="I76" s="34" t="n">
        <v>3019</v>
      </c>
      <c r="J76" s="213" t="n">
        <v>0.2463871400118934</v>
      </c>
    </row>
    <row r="77">
      <c r="B77" s="58" t="inlineStr">
        <is>
          <t>迷你哥/松山哥</t>
        </is>
      </c>
      <c r="C77" s="34" t="n">
        <v>36432</v>
      </c>
      <c r="D77" t="inlineStr">
        <is>
          <t>台積電(2330)</t>
        </is>
      </c>
      <c r="E77" s="34" t="n">
        <v>3939</v>
      </c>
      <c r="F77" t="inlineStr">
        <is>
          <t>國巨*(2327)</t>
        </is>
      </c>
      <c r="G77" s="34" t="n">
        <v>3882</v>
      </c>
      <c r="H77" t="inlineStr">
        <is>
          <t>聯電(2303)</t>
        </is>
      </c>
      <c r="I77" s="34" t="n">
        <v>2998</v>
      </c>
      <c r="J77" s="213" t="n">
        <v>0.2969672515871905</v>
      </c>
    </row>
    <row r="79" ht="22" customHeight="1">
      <c r="B79" s="59" t="inlineStr">
        <is>
          <t>▍ G. 注意股 (資料日 20261024)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s="61" t="inlineStr">
        <is>
          <t>✅ 今日無新增注意股 (市場無異常波動標的)</t>
        </is>
      </c>
    </row>
    <row r="83" ht="22" customHeight="1">
      <c r="B83" s="4" t="inlineStr">
        <is>
          <t>▍ H. 借券賣出 Top 15 (機構級反向力量, 資料日 20261022)</t>
        </is>
      </c>
    </row>
    <row r="84">
      <c r="B84" s="12" t="inlineStr">
        <is>
          <t>代號</t>
        </is>
      </c>
      <c r="C84" s="12" t="inlineStr">
        <is>
          <t>名稱</t>
        </is>
      </c>
      <c r="D84" s="12" t="inlineStr">
        <is>
          <t>借券張數</t>
        </is>
      </c>
      <c r="E84" s="12" t="inlineStr">
        <is>
          <t>融券張數</t>
        </is>
      </c>
      <c r="F84" s="12" t="inlineStr">
        <is>
          <t>ratio</t>
        </is>
      </c>
    </row>
    <row r="85">
      <c r="B85" t="inlineStr">
        <is>
          <t>00406A</t>
        </is>
      </c>
      <c r="C85" t="inlineStr">
        <is>
          <t>主動中信台灣收益</t>
        </is>
      </c>
      <c r="D85" s="34" t="n">
        <v>25911</v>
      </c>
      <c r="E85" s="34" t="n">
        <v>2508</v>
      </c>
      <c r="F85" s="214" t="n">
        <v>10.33</v>
      </c>
    </row>
    <row r="86">
      <c r="B86" s="41" t="inlineStr">
        <is>
          <t>00981A</t>
        </is>
      </c>
      <c r="C86" s="41" t="inlineStr">
        <is>
          <t>主動統一台股增長</t>
        </is>
      </c>
      <c r="D86" s="62" t="n">
        <v>17424</v>
      </c>
      <c r="E86" s="62" t="n">
        <v>874</v>
      </c>
      <c r="F86" s="215" t="n">
        <v>19.94</v>
      </c>
    </row>
    <row r="87">
      <c r="B87" s="46" t="inlineStr">
        <is>
          <t>🔴 2883</t>
        </is>
      </c>
      <c r="C87" t="inlineStr">
        <is>
          <t>凱基金</t>
        </is>
      </c>
      <c r="D87" s="34" t="n">
        <v>9763</v>
      </c>
      <c r="E87" s="34" t="n">
        <v>2</v>
      </c>
      <c r="F87" s="217" t="n">
        <v>4881.5</v>
      </c>
    </row>
    <row r="88">
      <c r="B88" s="41" t="inlineStr">
        <is>
          <t>00685L</t>
        </is>
      </c>
      <c r="C88" s="41" t="inlineStr">
        <is>
          <t>群益臺灣加權正2</t>
        </is>
      </c>
      <c r="D88" s="62" t="n">
        <v>8631</v>
      </c>
      <c r="E88" s="62" t="n">
        <v>2237</v>
      </c>
      <c r="F88" s="215" t="n">
        <v>3.86</v>
      </c>
    </row>
    <row r="89">
      <c r="B89" t="inlineStr">
        <is>
          <t>6770</t>
        </is>
      </c>
      <c r="C89" t="inlineStr">
        <is>
          <t>力積電</t>
        </is>
      </c>
      <c r="D89" s="34" t="n">
        <v>6876</v>
      </c>
      <c r="E89" s="34" t="n">
        <v>211</v>
      </c>
      <c r="F89" s="214" t="n">
        <v>32.59</v>
      </c>
    </row>
    <row r="90">
      <c r="B90" s="41" t="inlineStr">
        <is>
          <t>2887</t>
        </is>
      </c>
      <c r="C90" s="41" t="inlineStr">
        <is>
          <t>台新新光金</t>
        </is>
      </c>
      <c r="D90" s="62" t="n">
        <v>6764</v>
      </c>
      <c r="E90" s="62" t="n">
        <v>18</v>
      </c>
      <c r="F90" s="215" t="n">
        <v>375.78</v>
      </c>
    </row>
    <row r="91">
      <c r="B91" t="inlineStr">
        <is>
          <t>2408</t>
        </is>
      </c>
      <c r="C91" t="inlineStr">
        <is>
          <t>南亞科</t>
        </is>
      </c>
      <c r="D91" s="34" t="n">
        <v>5161</v>
      </c>
      <c r="E91" s="34" t="n">
        <v>714</v>
      </c>
      <c r="F91" s="214" t="n">
        <v>7.23</v>
      </c>
    </row>
    <row r="92">
      <c r="B92" s="41" t="inlineStr">
        <is>
          <t>00753L</t>
        </is>
      </c>
      <c r="C92" s="41" t="inlineStr">
        <is>
          <t>中信中國50正2</t>
        </is>
      </c>
      <c r="D92" s="62" t="n">
        <v>5152</v>
      </c>
      <c r="E92" s="62" t="n">
        <v>12029</v>
      </c>
      <c r="F92" s="215" t="n">
        <v>0.43</v>
      </c>
    </row>
    <row r="93">
      <c r="B93" t="inlineStr">
        <is>
          <t>2492</t>
        </is>
      </c>
      <c r="C93" t="inlineStr">
        <is>
          <t>華新科</t>
        </is>
      </c>
      <c r="D93" s="34" t="n">
        <v>5053</v>
      </c>
      <c r="E93" s="34" t="n">
        <v>395</v>
      </c>
      <c r="F93" s="214" t="n">
        <v>12.79</v>
      </c>
    </row>
    <row r="94">
      <c r="B94" s="41" t="inlineStr">
        <is>
          <t>2312</t>
        </is>
      </c>
      <c r="C94" s="41" t="inlineStr">
        <is>
          <t>金寶</t>
        </is>
      </c>
      <c r="D94" s="62" t="n">
        <v>4724</v>
      </c>
      <c r="E94" s="62" t="n">
        <v>11</v>
      </c>
      <c r="F94" s="215" t="n">
        <v>429.45</v>
      </c>
    </row>
    <row r="95">
      <c r="B95" t="inlineStr">
        <is>
          <t>1303</t>
        </is>
      </c>
      <c r="C95" t="inlineStr">
        <is>
          <t>南亞</t>
        </is>
      </c>
      <c r="D95" s="34" t="n">
        <v>4721</v>
      </c>
      <c r="E95" s="34" t="n">
        <v>613</v>
      </c>
      <c r="F95" s="214" t="n">
        <v>7.7</v>
      </c>
    </row>
    <row r="96">
      <c r="B96" s="41" t="inlineStr">
        <is>
          <t>2891</t>
        </is>
      </c>
      <c r="C96" s="41" t="inlineStr">
        <is>
          <t>中信金</t>
        </is>
      </c>
      <c r="D96" s="62" t="n">
        <v>4647</v>
      </c>
      <c r="E96" s="62" t="n">
        <v>143</v>
      </c>
      <c r="F96" s="215" t="n">
        <v>32.5</v>
      </c>
    </row>
    <row r="97">
      <c r="B97" t="inlineStr">
        <is>
          <t>2449</t>
        </is>
      </c>
      <c r="C97" t="inlineStr">
        <is>
          <t>京元電子</t>
        </is>
      </c>
      <c r="D97" s="34" t="n">
        <v>4252</v>
      </c>
      <c r="E97" s="34" t="n">
        <v>326</v>
      </c>
      <c r="F97" s="214" t="n">
        <v>13.04</v>
      </c>
    </row>
    <row r="98">
      <c r="B98" s="41" t="inlineStr">
        <is>
          <t>6269</t>
        </is>
      </c>
      <c r="C98" s="41" t="inlineStr">
        <is>
          <t>台郡</t>
        </is>
      </c>
      <c r="D98" s="62" t="n">
        <v>4015</v>
      </c>
      <c r="E98" s="62" t="n">
        <v>822</v>
      </c>
      <c r="F98" s="215" t="n">
        <v>4.88</v>
      </c>
    </row>
    <row r="99">
      <c r="B99" t="inlineStr">
        <is>
          <t>00991A</t>
        </is>
      </c>
      <c r="C99" t="inlineStr">
        <is>
          <t>主動復華未來50</t>
        </is>
      </c>
      <c r="D99" s="34" t="n">
        <v>3725</v>
      </c>
      <c r="E99" s="34" t="n">
        <v>45</v>
      </c>
      <c r="F99" s="214" t="n">
        <v>82.78</v>
      </c>
    </row>
    <row r="101" ht="22" customHeight="1">
      <c r="B101" s="67" t="inlineStr">
        <is>
          <t>▍ I. 未來 30 天除權息 (有效 19 檔, 已剔除過期)</t>
        </is>
      </c>
    </row>
    <row r="102">
      <c r="B102" s="60" t="inlineStr">
        <is>
          <t>除權息日</t>
        </is>
      </c>
      <c r="C102" s="60" t="inlineStr">
        <is>
          <t>代號</t>
        </is>
      </c>
      <c r="D102" s="60" t="inlineStr">
        <is>
          <t>名稱</t>
        </is>
      </c>
      <c r="E102" s="60" t="inlineStr">
        <is>
          <t>類型</t>
        </is>
      </c>
      <c r="F102" s="60" t="inlineStr">
        <is>
          <t>現金股利</t>
        </is>
      </c>
    </row>
    <row r="103">
      <c r="B103" t="inlineStr">
        <is>
          <t>20261027</t>
        </is>
      </c>
      <c r="C103" t="inlineStr">
        <is>
          <t>00907</t>
        </is>
      </c>
      <c r="D103" t="inlineStr">
        <is>
          <t>永豐優息存股</t>
        </is>
      </c>
      <c r="E103" t="inlineStr">
        <is>
          <t>息</t>
        </is>
      </c>
      <c r="F103" t="n">
        <v>0.268</v>
      </c>
    </row>
    <row r="104">
      <c r="B104" s="41" t="inlineStr">
        <is>
          <t>20261028</t>
        </is>
      </c>
      <c r="C104" s="41" t="inlineStr">
        <is>
          <t>2025</t>
        </is>
      </c>
      <c r="D104" s="41" t="inlineStr">
        <is>
          <t>千興</t>
        </is>
      </c>
      <c r="E104" s="41" t="inlineStr">
        <is>
          <t>權</t>
        </is>
      </c>
      <c r="F104" s="41" t="n">
        <v>0</v>
      </c>
    </row>
    <row r="105">
      <c r="B105" t="inlineStr">
        <is>
          <t>20261028</t>
        </is>
      </c>
      <c r="C105" t="inlineStr">
        <is>
          <t>4552</t>
        </is>
      </c>
      <c r="D105" t="inlineStr">
        <is>
          <t>力達-KY</t>
        </is>
      </c>
      <c r="E105" t="inlineStr">
        <is>
          <t>息</t>
        </is>
      </c>
      <c r="F105" t="n">
        <v>0.6</v>
      </c>
    </row>
    <row r="106">
      <c r="B106" s="41" t="inlineStr">
        <is>
          <t>20261029</t>
        </is>
      </c>
      <c r="C106" s="41" t="inlineStr">
        <is>
          <t>2762</t>
        </is>
      </c>
      <c r="D106" s="41" t="inlineStr">
        <is>
          <t>世界健身-KY</t>
        </is>
      </c>
      <c r="E106" s="41" t="inlineStr">
        <is>
          <t>息</t>
        </is>
      </c>
      <c r="F106" s="41" t="n">
        <v>1.807197</v>
      </c>
    </row>
    <row r="107">
      <c r="B107" t="inlineStr">
        <is>
          <t>20261029</t>
        </is>
      </c>
      <c r="C107" t="inlineStr">
        <is>
          <t>3563</t>
        </is>
      </c>
      <c r="D107" t="inlineStr">
        <is>
          <t>牧德</t>
        </is>
      </c>
      <c r="E107" t="inlineStr">
        <is>
          <t>息</t>
        </is>
      </c>
      <c r="F107" t="n">
        <v>1</v>
      </c>
    </row>
    <row r="108">
      <c r="B108" s="41" t="inlineStr">
        <is>
          <t>20261029</t>
        </is>
      </c>
      <c r="C108" s="41" t="inlineStr">
        <is>
          <t>5522</t>
        </is>
      </c>
      <c r="D108" s="41" t="inlineStr">
        <is>
          <t>遠雄</t>
        </is>
      </c>
      <c r="E108" s="41" t="inlineStr">
        <is>
          <t>息</t>
        </is>
      </c>
      <c r="F108" s="41" t="n">
        <v>1</v>
      </c>
    </row>
    <row r="109">
      <c r="B109" t="inlineStr">
        <is>
          <t>20261102</t>
        </is>
      </c>
      <c r="C109" t="inlineStr">
        <is>
          <t>6165</t>
        </is>
      </c>
      <c r="D109" t="inlineStr">
        <is>
          <t>浪凡</t>
        </is>
      </c>
      <c r="E109" t="inlineStr">
        <is>
          <t>息</t>
        </is>
      </c>
      <c r="F109" t="n">
        <v>5</v>
      </c>
    </row>
    <row r="110">
      <c r="B110" s="41" t="inlineStr">
        <is>
          <t>20261103</t>
        </is>
      </c>
      <c r="C110" s="41" t="inlineStr">
        <is>
          <t>00406A</t>
        </is>
      </c>
      <c r="D110" s="41" t="inlineStr">
        <is>
          <t>主動中信台灣收益</t>
        </is>
      </c>
      <c r="E110" s="41" t="inlineStr">
        <is>
          <t>息</t>
        </is>
      </c>
      <c r="F110" s="41" t="n"/>
    </row>
    <row r="111">
      <c r="B111" t="inlineStr">
        <is>
          <t>20261103</t>
        </is>
      </c>
      <c r="C111" t="inlineStr">
        <is>
          <t>00939</t>
        </is>
      </c>
      <c r="D111" t="inlineStr">
        <is>
          <t>統一台灣高息動能</t>
        </is>
      </c>
      <c r="E111" t="inlineStr">
        <is>
          <t>息</t>
        </is>
      </c>
    </row>
    <row r="112">
      <c r="B112" s="41" t="inlineStr">
        <is>
          <t>20261103</t>
        </is>
      </c>
      <c r="C112" s="41" t="inlineStr">
        <is>
          <t>00984D</t>
        </is>
      </c>
      <c r="D112" s="41" t="inlineStr">
        <is>
          <t>主動聯博全球非投</t>
        </is>
      </c>
      <c r="E112" s="41" t="inlineStr">
        <is>
          <t>息</t>
        </is>
      </c>
      <c r="F112" s="41" t="n"/>
    </row>
    <row r="113">
      <c r="B113" t="inlineStr">
        <is>
          <t>20261104</t>
        </is>
      </c>
      <c r="C113" t="inlineStr">
        <is>
          <t>00946</t>
        </is>
      </c>
      <c r="D113" t="inlineStr">
        <is>
          <t>群益科技高息成長</t>
        </is>
      </c>
      <c r="E113" t="inlineStr">
        <is>
          <t>息</t>
        </is>
      </c>
    </row>
    <row r="114">
      <c r="B114" s="41" t="inlineStr">
        <is>
          <t>20261104</t>
        </is>
      </c>
      <c r="C114" s="41" t="inlineStr">
        <is>
          <t>00953B</t>
        </is>
      </c>
      <c r="D114" s="41" t="inlineStr">
        <is>
          <t>群益優選非投等債</t>
        </is>
      </c>
      <c r="E114" s="41" t="inlineStr">
        <is>
          <t>息</t>
        </is>
      </c>
      <c r="F114" s="41" t="n"/>
    </row>
    <row r="115">
      <c r="B115" t="inlineStr">
        <is>
          <t>20261104</t>
        </is>
      </c>
      <c r="C115" t="inlineStr">
        <is>
          <t>00985B</t>
        </is>
      </c>
      <c r="D115" t="inlineStr">
        <is>
          <t>群益ESG投等債0-5</t>
        </is>
      </c>
      <c r="E115" t="inlineStr">
        <is>
          <t>息</t>
        </is>
      </c>
    </row>
    <row r="116">
      <c r="B116" s="41" t="inlineStr">
        <is>
          <t>20261104</t>
        </is>
      </c>
      <c r="C116" s="41" t="inlineStr">
        <is>
          <t>020036</t>
        </is>
      </c>
      <c r="D116" s="41" t="inlineStr">
        <is>
          <t>元大金融配息N</t>
        </is>
      </c>
      <c r="E116" s="41" t="inlineStr">
        <is>
          <t>息</t>
        </is>
      </c>
      <c r="F116" s="41" t="n">
        <v>0.4</v>
      </c>
    </row>
    <row r="117">
      <c r="B117" t="inlineStr">
        <is>
          <t>20261104</t>
        </is>
      </c>
      <c r="C117" t="inlineStr">
        <is>
          <t>8467</t>
        </is>
      </c>
      <c r="D117" t="inlineStr">
        <is>
          <t>波力-KY</t>
        </is>
      </c>
      <c r="E117" t="inlineStr">
        <is>
          <t>息</t>
        </is>
      </c>
      <c r="F117" t="n">
        <v>2</v>
      </c>
    </row>
  </sheetData>
  <mergeCells count="28">
    <mergeCell ref="C30:D30"/>
    <mergeCell ref="B9:N9"/>
    <mergeCell ref="B81:F81"/>
    <mergeCell ref="B101:J101"/>
    <mergeCell ref="G30:I30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63:J63"/>
    <mergeCell ref="B79:J79"/>
    <mergeCell ref="B11:N11"/>
    <mergeCell ref="B2:N2"/>
    <mergeCell ref="B54:J54"/>
    <mergeCell ref="B14:N14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5:F99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2026/10/22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10.0%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聯茂 (6213) · 10 大戶</t>
        </is>
      </c>
    </row>
    <row r="10">
      <c r="C10" s="73" t="inlineStr">
        <is>
          <t>③ 日月光投控 (3711) · 10 大戶</t>
        </is>
      </c>
    </row>
    <row r="11">
      <c r="C11" s="73" t="inlineStr">
        <is>
          <t>④ 南亞 (1303) · 11 大戶</t>
        </is>
      </c>
    </row>
    <row r="12">
      <c r="C12" s="73" t="inlineStr">
        <is>
          <t>⑤ 聯發科 (2454) · 13 大戶</t>
        </is>
      </c>
    </row>
    <row r="14">
      <c r="C14" s="69" t="inlineStr">
        <is>
          <t>📊 共識集中產業</t>
        </is>
      </c>
    </row>
    <row r="15">
      <c r="C15" s="73" t="inlineStr">
        <is>
          <t>電子零組件業 · 5 檔 (45%)</t>
        </is>
      </c>
    </row>
    <row r="16">
      <c r="C16" s="73" t="inlineStr">
        <is>
          <t>半導體業 · 4 檔 (36%)</t>
        </is>
      </c>
    </row>
    <row r="17">
      <c r="C17" s="73" t="inlineStr">
        <is>
          <t>塑膠工業 · 1 檔 (9%)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10,908 萬 (★共識)</t>
        </is>
      </c>
    </row>
    <row r="21">
      <c r="C21" s="73" t="inlineStr">
        <is>
          <t>華新科 (2492) · 7,652 萬 (★共識)</t>
        </is>
      </c>
    </row>
    <row r="22">
      <c r="C22" s="73" t="inlineStr">
        <is>
          <t>國巨* (2327) · 5,891 萬 (★共識)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-302 億 淨買</t>
        </is>
      </c>
    </row>
    <row r="30">
      <c r="C30" s="75" t="inlineStr">
        <is>
          <t>比昨 -42 擴空 / 比 5d -121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57/57 交易日出手 2737 次 (496 檔), 風格分布: 隔日沖近似 36% / 當沖 13% / 留倉 51%, 漲停命中 2% (其中 🔒鎖漲停 2%), 前 5 大集中 23%, 長線部位 67% (51 檔), ⚠️ 處置股部位 2% (14 檔), 📦 連續囤貨 48 檔 (最長 17 天 00918, 12 檔仍 active)。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10908</v>
      </c>
      <c r="F12" s="34" t="n">
        <v>0</v>
      </c>
      <c r="G12" s="230" t="n">
        <v>-0.0145</v>
      </c>
    </row>
    <row r="13">
      <c r="B13" t="n">
        <v>2</v>
      </c>
      <c r="C13" t="inlineStr">
        <is>
          <t>2492</t>
        </is>
      </c>
      <c r="D13" t="inlineStr">
        <is>
          <t>華新科</t>
        </is>
      </c>
      <c r="E13" s="34" t="n">
        <v>7652</v>
      </c>
      <c r="F13" s="34" t="n">
        <v>0</v>
      </c>
      <c r="G13" s="230" t="n">
        <v>-0.0925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4" t="n">
        <v>5891</v>
      </c>
      <c r="F14" s="34" t="n">
        <v>0</v>
      </c>
      <c r="G14" s="230" t="n">
        <v>-0.0646</v>
      </c>
    </row>
    <row r="15">
      <c r="B15" t="n">
        <v>4</v>
      </c>
      <c r="C15" t="inlineStr">
        <is>
          <t>6213</t>
        </is>
      </c>
      <c r="D15" t="inlineStr">
        <is>
          <t>聯茂</t>
        </is>
      </c>
      <c r="E15" s="34" t="n">
        <v>5098</v>
      </c>
      <c r="F15" s="34" t="n">
        <v>0</v>
      </c>
      <c r="G15" s="230" t="n">
        <v>-0.0559</v>
      </c>
    </row>
    <row r="16">
      <c r="B16" t="n">
        <v>5</v>
      </c>
      <c r="C16" t="inlineStr">
        <is>
          <t>2308</t>
        </is>
      </c>
      <c r="D16" t="inlineStr">
        <is>
          <t>台達電</t>
        </is>
      </c>
      <c r="E16" s="34" t="n">
        <v>4703</v>
      </c>
      <c r="F16" s="34" t="n">
        <v>0</v>
      </c>
      <c r="G16" s="230" t="n">
        <v>-0.04</v>
      </c>
    </row>
    <row r="17">
      <c r="B17" t="n">
        <v>6</v>
      </c>
      <c r="C17" t="inlineStr">
        <is>
          <t>3443</t>
        </is>
      </c>
      <c r="D17" t="inlineStr">
        <is>
          <t>創意</t>
        </is>
      </c>
      <c r="E17" s="34" t="n">
        <v>4699</v>
      </c>
      <c r="F17" s="34" t="n">
        <v>0</v>
      </c>
      <c r="G17" s="230" t="n">
        <v>-0.0519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4" t="n">
        <v>4647</v>
      </c>
      <c r="F18" s="34" t="n">
        <v>0</v>
      </c>
      <c r="G18" s="230" t="n">
        <v>-0.0608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4" t="n">
        <v>4087</v>
      </c>
      <c r="F19" s="34" t="n">
        <v>0</v>
      </c>
      <c r="G19" s="230" t="n">
        <v>-0.019</v>
      </c>
    </row>
    <row r="20">
      <c r="B20" t="n">
        <v>9</v>
      </c>
      <c r="C20" t="inlineStr">
        <is>
          <t>3037</t>
        </is>
      </c>
      <c r="D20" t="inlineStr">
        <is>
          <t>欣興</t>
        </is>
      </c>
      <c r="E20" s="34" t="n">
        <v>3883</v>
      </c>
      <c r="F20" s="34" t="n">
        <v>0</v>
      </c>
      <c r="G20" s="230" t="n">
        <v>-0.0136</v>
      </c>
    </row>
    <row r="21">
      <c r="B21" t="n">
        <v>10</v>
      </c>
      <c r="C21" t="inlineStr">
        <is>
          <t>2454</t>
        </is>
      </c>
      <c r="D21" t="inlineStr">
        <is>
          <t>聯發科</t>
        </is>
      </c>
      <c r="E21" s="34" t="n">
        <v>3750</v>
      </c>
      <c r="F21" s="34" t="n">
        <v>0</v>
      </c>
      <c r="G21" s="230" t="n">
        <v>-0.0314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11</v>
      </c>
      <c r="F2" s="116" t="n">
        <v>4</v>
      </c>
      <c r="G2" s="116" t="n">
        <v>2677</v>
      </c>
      <c r="H2" s="116" t="n">
        <v>964</v>
      </c>
      <c r="I2" s="116" t="n">
        <v>1713</v>
      </c>
      <c r="J2" s="117" t="n">
        <v>2433.55</v>
      </c>
      <c r="K2" s="117" t="n">
        <v>2408.75</v>
      </c>
      <c r="L2" s="233">
        <f>F2*(K2-J2)</f>
        <v/>
      </c>
    </row>
    <row r="3" ht="16.5" customHeight="1">
      <c r="A3" s="119" t="n"/>
      <c r="B3" s="119" t="n"/>
      <c r="C3" s="119" t="n"/>
      <c r="D3" s="115" t="inlineStr">
        <is>
          <t>台化(1326)</t>
        </is>
      </c>
      <c r="E3" s="116" t="n">
        <v>353</v>
      </c>
      <c r="F3" s="116" t="n">
        <v>21</v>
      </c>
      <c r="G3" s="116" t="n">
        <v>2637</v>
      </c>
      <c r="H3" s="116" t="n">
        <v>154</v>
      </c>
      <c r="I3" s="116" t="n">
        <v>2483</v>
      </c>
      <c r="J3" s="117" t="n">
        <v>74.70999999999999</v>
      </c>
      <c r="K3" s="117" t="n">
        <v>73.09999999999999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創意(3443)</t>
        </is>
      </c>
      <c r="E4" s="116" t="n">
        <v>3</v>
      </c>
      <c r="F4" s="116" t="n">
        <v>2</v>
      </c>
      <c r="G4" s="116" t="n">
        <v>2389</v>
      </c>
      <c r="H4" s="116" t="n">
        <v>1599</v>
      </c>
      <c r="I4" s="116" t="n">
        <v>790</v>
      </c>
      <c r="J4" s="117" t="n">
        <v>7962.67</v>
      </c>
      <c r="K4" s="117" t="n">
        <v>7994.5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國巨*(2327)</t>
        </is>
      </c>
      <c r="E5" s="116" t="n">
        <v>44</v>
      </c>
      <c r="F5" s="116" t="n">
        <v>24</v>
      </c>
      <c r="G5" s="116" t="n">
        <v>2250</v>
      </c>
      <c r="H5" s="116" t="n">
        <v>1238</v>
      </c>
      <c r="I5" s="116" t="n">
        <v>1012</v>
      </c>
      <c r="J5" s="117" t="n">
        <v>511.32</v>
      </c>
      <c r="K5" s="117" t="n">
        <v>515.67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南亞(1303)</t>
        </is>
      </c>
      <c r="E6" s="116" t="n">
        <v>56</v>
      </c>
      <c r="F6" s="116" t="n">
        <v>27</v>
      </c>
      <c r="G6" s="116" t="n">
        <v>1764</v>
      </c>
      <c r="H6" s="116" t="n">
        <v>839</v>
      </c>
      <c r="I6" s="116" t="n">
        <v>925</v>
      </c>
      <c r="J6" s="117" t="n">
        <v>314.96</v>
      </c>
      <c r="K6" s="117" t="n">
        <v>310.67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台郡(6269)</t>
        </is>
      </c>
      <c r="E7" s="116" t="n">
        <v>215</v>
      </c>
      <c r="F7" s="116" t="n">
        <v>20</v>
      </c>
      <c r="G7" s="116" t="n">
        <v>1749</v>
      </c>
      <c r="H7" s="116" t="n">
        <v>164</v>
      </c>
      <c r="I7" s="116" t="n">
        <v>1585</v>
      </c>
      <c r="J7" s="117" t="n">
        <v>81.37</v>
      </c>
      <c r="K7" s="117" t="n">
        <v>82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台塑(1301)</t>
        </is>
      </c>
      <c r="E8" s="116" t="n">
        <v>199</v>
      </c>
      <c r="F8" s="116" t="n">
        <v>25</v>
      </c>
      <c r="G8" s="116" t="n">
        <v>1507</v>
      </c>
      <c r="H8" s="116" t="n">
        <v>187</v>
      </c>
      <c r="I8" s="116" t="n">
        <v>1320</v>
      </c>
      <c r="J8" s="117" t="n">
        <v>75.72</v>
      </c>
      <c r="K8" s="117" t="n">
        <v>74.68000000000001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台達電(2308)</t>
        </is>
      </c>
      <c r="E9" s="116" t="n">
        <v>8</v>
      </c>
      <c r="F9" s="116" t="n">
        <v>0</v>
      </c>
      <c r="G9" s="116" t="n">
        <v>1289</v>
      </c>
      <c r="H9" s="116" t="n">
        <v>0</v>
      </c>
      <c r="I9" s="116" t="n">
        <v>1289</v>
      </c>
      <c r="J9" s="117" t="n">
        <v>1611.62</v>
      </c>
      <c r="K9" s="117" t="n">
        <v>0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友達(2409)</t>
        </is>
      </c>
      <c r="E10" s="116" t="n">
        <v>332</v>
      </c>
      <c r="F10" s="116" t="n">
        <v>254</v>
      </c>
      <c r="G10" s="116" t="n">
        <v>1220</v>
      </c>
      <c r="H10" s="116" t="n">
        <v>921</v>
      </c>
      <c r="I10" s="116" t="n">
        <v>299</v>
      </c>
      <c r="J10" s="117" t="n">
        <v>36.73</v>
      </c>
      <c r="K10" s="117" t="n">
        <v>36.24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欣興(3037)</t>
        </is>
      </c>
      <c r="E11" s="116" t="n">
        <v>10</v>
      </c>
      <c r="F11" s="116" t="n">
        <v>8</v>
      </c>
      <c r="G11" s="116" t="n">
        <v>1106</v>
      </c>
      <c r="H11" s="116" t="n">
        <v>828</v>
      </c>
      <c r="I11" s="116" t="n">
        <v>278</v>
      </c>
      <c r="J11" s="117" t="n">
        <v>1106.2</v>
      </c>
      <c r="K11" s="117" t="n">
        <v>1035.62</v>
      </c>
      <c r="L11" s="233">
        <f>F11*(K11-J11)</f>
        <v/>
      </c>
    </row>
    <row r="12" ht="16.5" customHeight="1">
      <c r="A12" s="121" t="n"/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A13" s="119" t="n"/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台光電(2383)</t>
        </is>
      </c>
      <c r="E13" s="116" t="n">
        <v>23</v>
      </c>
      <c r="F13" s="116" t="n">
        <v>22</v>
      </c>
      <c r="G13" s="116" t="n">
        <v>11566</v>
      </c>
      <c r="H13" s="116" t="n">
        <v>11041</v>
      </c>
      <c r="I13" s="116" t="n">
        <v>525</v>
      </c>
      <c r="J13" s="117" t="n">
        <v>5028.57</v>
      </c>
      <c r="K13" s="117" t="n">
        <v>5018.73</v>
      </c>
      <c r="L13" s="233">
        <f>F13*(K13-J13)</f>
        <v/>
      </c>
    </row>
    <row r="14" ht="16.5" customHeight="1">
      <c r="A14" s="119" t="n"/>
      <c r="B14" s="119" t="n"/>
      <c r="C14" s="119" t="n"/>
      <c r="D14" s="115" t="inlineStr">
        <is>
          <t>東台(4526)</t>
        </is>
      </c>
      <c r="E14" s="116" t="n">
        <v>1618</v>
      </c>
      <c r="F14" s="116" t="n">
        <v>379</v>
      </c>
      <c r="G14" s="116" t="n">
        <v>6768</v>
      </c>
      <c r="H14" s="116" t="n">
        <v>1574</v>
      </c>
      <c r="I14" s="116" t="n">
        <v>5194</v>
      </c>
      <c r="J14" s="117" t="n">
        <v>41.83</v>
      </c>
      <c r="K14" s="117" t="n">
        <v>41.52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台積電(2330)</t>
        </is>
      </c>
      <c r="E15" s="116" t="n">
        <v>25</v>
      </c>
      <c r="F15" s="116" t="n">
        <v>15</v>
      </c>
      <c r="G15" s="116" t="n">
        <v>5908</v>
      </c>
      <c r="H15" s="116" t="n">
        <v>3561</v>
      </c>
      <c r="I15" s="116" t="n">
        <v>2347</v>
      </c>
      <c r="J15" s="117" t="n">
        <v>2363.32</v>
      </c>
      <c r="K15" s="117" t="n">
        <v>2373.8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聯電(2303)</t>
        </is>
      </c>
      <c r="E16" s="116" t="n">
        <v>284</v>
      </c>
      <c r="F16" s="116" t="n">
        <v>243</v>
      </c>
      <c r="G16" s="116" t="n">
        <v>3562</v>
      </c>
      <c r="H16" s="116" t="n">
        <v>3050</v>
      </c>
      <c r="I16" s="116" t="n">
        <v>512</v>
      </c>
      <c r="J16" s="117" t="n">
        <v>125.42</v>
      </c>
      <c r="K16" s="117" t="n">
        <v>125.53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德淵(4720)</t>
        </is>
      </c>
      <c r="E17" s="116" t="n">
        <v>1015</v>
      </c>
      <c r="F17" s="116" t="n">
        <v>21</v>
      </c>
      <c r="G17" s="116" t="n">
        <v>3262</v>
      </c>
      <c r="H17" s="116" t="n">
        <v>66</v>
      </c>
      <c r="I17" s="116" t="n">
        <v>3196</v>
      </c>
      <c r="J17" s="117" t="n">
        <v>32.14</v>
      </c>
      <c r="K17" s="117" t="n">
        <v>31.67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台燿(6274)</t>
        </is>
      </c>
      <c r="E18" s="116" t="n">
        <v>20</v>
      </c>
      <c r="F18" s="116" t="n">
        <v>11</v>
      </c>
      <c r="G18" s="116" t="n">
        <v>2884</v>
      </c>
      <c r="H18" s="116" t="n">
        <v>1530</v>
      </c>
      <c r="I18" s="116" t="n">
        <v>1354</v>
      </c>
      <c r="J18" s="117" t="n">
        <v>1441.95</v>
      </c>
      <c r="K18" s="117" t="n">
        <v>1390.45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誠美材(4960)</t>
        </is>
      </c>
      <c r="E19" s="116" t="n">
        <v>628</v>
      </c>
      <c r="F19" s="116" t="n">
        <v>540</v>
      </c>
      <c r="G19" s="116" t="n">
        <v>2125</v>
      </c>
      <c r="H19" s="116" t="n">
        <v>1728</v>
      </c>
      <c r="I19" s="116" t="n">
        <v>397</v>
      </c>
      <c r="J19" s="117" t="n">
        <v>33.84</v>
      </c>
      <c r="K19" s="117" t="n">
        <v>32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欣興(3037)</t>
        </is>
      </c>
      <c r="E20" s="116" t="n">
        <v>18</v>
      </c>
      <c r="F20" s="116" t="n">
        <v>8</v>
      </c>
      <c r="G20" s="116" t="n">
        <v>1955</v>
      </c>
      <c r="H20" s="116" t="n">
        <v>853</v>
      </c>
      <c r="I20" s="116" t="n">
        <v>1102</v>
      </c>
      <c r="J20" s="117" t="n">
        <v>1086.17</v>
      </c>
      <c r="K20" s="117" t="n">
        <v>1065.75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日月光投控(3711)</t>
        </is>
      </c>
      <c r="E21" s="116" t="n">
        <v>26</v>
      </c>
      <c r="F21" s="116" t="n">
        <v>6</v>
      </c>
      <c r="G21" s="116" t="n">
        <v>1720</v>
      </c>
      <c r="H21" s="116" t="n">
        <v>400</v>
      </c>
      <c r="I21" s="116" t="n">
        <v>1320</v>
      </c>
      <c r="J21" s="117" t="n">
        <v>661.42</v>
      </c>
      <c r="K21" s="117" t="n">
        <v>666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友達(2409)</t>
        </is>
      </c>
      <c r="E22" s="116" t="n">
        <v>437</v>
      </c>
      <c r="F22" s="116" t="n">
        <v>195</v>
      </c>
      <c r="G22" s="116" t="n">
        <v>1610</v>
      </c>
      <c r="H22" s="116" t="n">
        <v>709</v>
      </c>
      <c r="I22" s="116" t="n">
        <v>901</v>
      </c>
      <c r="J22" s="117" t="n">
        <v>36.83</v>
      </c>
      <c r="K22" s="117" t="n">
        <v>36.36</v>
      </c>
      <c r="L22" s="233">
        <f>F22*(K22-J22)</f>
        <v/>
      </c>
    </row>
    <row r="23" ht="16.5" customHeight="1">
      <c r="A23" s="121" t="n"/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A24" s="119" t="n"/>
      <c r="B24" s="114" t="inlineStr">
        <is>
          <t>國票-彰化</t>
        </is>
      </c>
      <c r="C24" s="114" t="inlineStr">
        <is>
          <t>779W</t>
        </is>
      </c>
      <c r="D24" s="115" t="inlineStr">
        <is>
          <t>京元電子(2449)</t>
        </is>
      </c>
      <c r="E24" s="116" t="n">
        <v>36</v>
      </c>
      <c r="F24" s="116" t="n">
        <v>31</v>
      </c>
      <c r="G24" s="116" t="n">
        <v>978</v>
      </c>
      <c r="H24" s="116" t="n">
        <v>821</v>
      </c>
      <c r="I24" s="116" t="n">
        <v>157</v>
      </c>
      <c r="J24" s="117" t="n">
        <v>271.67</v>
      </c>
      <c r="K24" s="117" t="n">
        <v>264.77</v>
      </c>
      <c r="L24" s="233">
        <f>F24*(K24-J24)</f>
        <v/>
      </c>
    </row>
    <row r="25" ht="16.5" customHeight="1">
      <c r="A25" s="119" t="n"/>
      <c r="B25" s="119" t="n"/>
      <c r="C25" s="119" t="n"/>
      <c r="D25" s="115" t="inlineStr">
        <is>
          <t>華新科(2492)</t>
        </is>
      </c>
      <c r="E25" s="116" t="n">
        <v>23</v>
      </c>
      <c r="F25" s="116" t="n">
        <v>19</v>
      </c>
      <c r="G25" s="116" t="n">
        <v>851</v>
      </c>
      <c r="H25" s="116" t="n">
        <v>701</v>
      </c>
      <c r="I25" s="116" t="n">
        <v>150</v>
      </c>
      <c r="J25" s="117" t="n">
        <v>370.04</v>
      </c>
      <c r="K25" s="117" t="n">
        <v>368.84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台積電(2330)</t>
        </is>
      </c>
      <c r="E26" s="116" t="n">
        <v>4</v>
      </c>
      <c r="F26" s="116" t="n">
        <v>2</v>
      </c>
      <c r="G26" s="116" t="n">
        <v>840</v>
      </c>
      <c r="H26" s="116" t="n">
        <v>544</v>
      </c>
      <c r="I26" s="116" t="n">
        <v>296</v>
      </c>
      <c r="J26" s="117" t="n">
        <v>2101</v>
      </c>
      <c r="K26" s="117" t="n">
        <v>2722.5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尖點(8021)</t>
        </is>
      </c>
      <c r="E27" s="116" t="n">
        <v>17</v>
      </c>
      <c r="F27" s="116" t="n">
        <v>14</v>
      </c>
      <c r="G27" s="116" t="n">
        <v>830</v>
      </c>
      <c r="H27" s="116" t="n">
        <v>682</v>
      </c>
      <c r="I27" s="116" t="n">
        <v>148</v>
      </c>
      <c r="J27" s="117" t="n">
        <v>488.47</v>
      </c>
      <c r="K27" s="117" t="n">
        <v>487.14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景碩(3189)</t>
        </is>
      </c>
      <c r="E28" s="116" t="n">
        <v>5</v>
      </c>
      <c r="F28" s="116" t="n">
        <v>1</v>
      </c>
      <c r="G28" s="116" t="n">
        <v>515</v>
      </c>
      <c r="H28" s="116" t="n">
        <v>99</v>
      </c>
      <c r="I28" s="116" t="n">
        <v>416</v>
      </c>
      <c r="J28" s="117" t="n">
        <v>1029.2</v>
      </c>
      <c r="K28" s="117" t="n">
        <v>987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金居(8358)</t>
        </is>
      </c>
      <c r="E29" s="116" t="n">
        <v>12</v>
      </c>
      <c r="F29" s="116" t="n">
        <v>10</v>
      </c>
      <c r="G29" s="116" t="n">
        <v>511</v>
      </c>
      <c r="H29" s="116" t="n">
        <v>447</v>
      </c>
      <c r="I29" s="116" t="n">
        <v>64</v>
      </c>
      <c r="J29" s="117" t="n">
        <v>425.83</v>
      </c>
      <c r="K29" s="117" t="n">
        <v>447.4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台燿(6274)</t>
        </is>
      </c>
      <c r="E30" s="116" t="n">
        <v>3</v>
      </c>
      <c r="F30" s="116" t="n">
        <v>1</v>
      </c>
      <c r="G30" s="116" t="n">
        <v>464</v>
      </c>
      <c r="H30" s="116" t="n">
        <v>147</v>
      </c>
      <c r="I30" s="116" t="n">
        <v>317</v>
      </c>
      <c r="J30" s="117" t="n">
        <v>1547</v>
      </c>
      <c r="K30" s="117" t="n">
        <v>1468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南亞(1303)</t>
        </is>
      </c>
      <c r="E31" s="116" t="n">
        <v>13</v>
      </c>
      <c r="F31" s="116" t="n">
        <v>7</v>
      </c>
      <c r="G31" s="116" t="n">
        <v>399</v>
      </c>
      <c r="H31" s="116" t="n">
        <v>224</v>
      </c>
      <c r="I31" s="116" t="n">
        <v>175</v>
      </c>
      <c r="J31" s="117" t="n">
        <v>307.23</v>
      </c>
      <c r="K31" s="117" t="n">
        <v>319.29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國巨*(2327)</t>
        </is>
      </c>
      <c r="E32" s="116" t="n">
        <v>7</v>
      </c>
      <c r="F32" s="116" t="n">
        <v>3</v>
      </c>
      <c r="G32" s="116" t="n">
        <v>367</v>
      </c>
      <c r="H32" s="116" t="n">
        <v>141</v>
      </c>
      <c r="I32" s="116" t="n">
        <v>226</v>
      </c>
      <c r="J32" s="117" t="n">
        <v>524.71</v>
      </c>
      <c r="K32" s="117" t="n">
        <v>469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友達(2409)</t>
        </is>
      </c>
      <c r="E33" s="116" t="n">
        <v>68</v>
      </c>
      <c r="F33" s="116" t="n">
        <v>20</v>
      </c>
      <c r="G33" s="116" t="n">
        <v>250</v>
      </c>
      <c r="H33" s="116" t="n">
        <v>73</v>
      </c>
      <c r="I33" s="116" t="n">
        <v>177</v>
      </c>
      <c r="J33" s="117" t="n">
        <v>36.69</v>
      </c>
      <c r="K33" s="117" t="n">
        <v>36.6</v>
      </c>
      <c r="L33" s="233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88</v>
      </c>
      <c r="F35" s="125" t="n">
        <v>26</v>
      </c>
      <c r="G35" s="125" t="n">
        <v>20956</v>
      </c>
      <c r="H35" s="125" t="n">
        <v>6198</v>
      </c>
      <c r="I35" s="125" t="n">
        <v>14758</v>
      </c>
      <c r="J35" s="126" t="n">
        <v>2381.42</v>
      </c>
      <c r="K35" s="126" t="n">
        <v>2383.96</v>
      </c>
      <c r="L35" s="232">
        <f>F35*(K35-J35)</f>
        <v/>
      </c>
    </row>
    <row r="36" ht="16.5" customHeight="1">
      <c r="A36" s="127" t="n"/>
      <c r="B36" s="127" t="n"/>
      <c r="C36" s="127" t="n"/>
      <c r="D36" s="124" t="inlineStr">
        <is>
          <t>南亞(1303)</t>
        </is>
      </c>
      <c r="E36" s="125" t="n">
        <v>401</v>
      </c>
      <c r="F36" s="125" t="n">
        <v>149</v>
      </c>
      <c r="G36" s="125" t="n">
        <v>12551</v>
      </c>
      <c r="H36" s="125" t="n">
        <v>4628</v>
      </c>
      <c r="I36" s="125" t="n">
        <v>7923</v>
      </c>
      <c r="J36" s="126" t="n">
        <v>312.99</v>
      </c>
      <c r="K36" s="126" t="n">
        <v>310.59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富喬(1815)</t>
        </is>
      </c>
      <c r="E37" s="125" t="n">
        <v>674</v>
      </c>
      <c r="F37" s="125" t="n">
        <v>603</v>
      </c>
      <c r="G37" s="125" t="n">
        <v>9370</v>
      </c>
      <c r="H37" s="125" t="n">
        <v>8380</v>
      </c>
      <c r="I37" s="125" t="n">
        <v>990</v>
      </c>
      <c r="J37" s="126" t="n">
        <v>139.01</v>
      </c>
      <c r="K37" s="126" t="n">
        <v>138.97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聯發科(2454)</t>
        </is>
      </c>
      <c r="E38" s="125" t="n">
        <v>15</v>
      </c>
      <c r="F38" s="125" t="n">
        <v>4</v>
      </c>
      <c r="G38" s="125" t="n">
        <v>6169</v>
      </c>
      <c r="H38" s="125" t="n">
        <v>1555</v>
      </c>
      <c r="I38" s="125" t="n">
        <v>4614</v>
      </c>
      <c r="J38" s="126" t="n">
        <v>4112.47</v>
      </c>
      <c r="K38" s="126" t="n">
        <v>3887.75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定穎投控(3715)</t>
        </is>
      </c>
      <c r="E39" s="125" t="n">
        <v>400</v>
      </c>
      <c r="F39" s="125" t="n">
        <v>51</v>
      </c>
      <c r="G39" s="125" t="n">
        <v>5714</v>
      </c>
      <c r="H39" s="125" t="n">
        <v>699</v>
      </c>
      <c r="I39" s="125" t="n">
        <v>5015</v>
      </c>
      <c r="J39" s="126" t="n">
        <v>142.84</v>
      </c>
      <c r="K39" s="126" t="n">
        <v>137.08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華新科(2492)</t>
        </is>
      </c>
      <c r="E40" s="125" t="n">
        <v>143</v>
      </c>
      <c r="F40" s="125" t="n">
        <v>55</v>
      </c>
      <c r="G40" s="125" t="n">
        <v>5280</v>
      </c>
      <c r="H40" s="125" t="n">
        <v>2021</v>
      </c>
      <c r="I40" s="125" t="n">
        <v>3259</v>
      </c>
      <c r="J40" s="126" t="n">
        <v>369.24</v>
      </c>
      <c r="K40" s="126" t="n">
        <v>367.45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台達電(2308)</t>
        </is>
      </c>
      <c r="E41" s="125" t="n">
        <v>34</v>
      </c>
      <c r="F41" s="125" t="n">
        <v>7</v>
      </c>
      <c r="G41" s="125" t="n">
        <v>5236</v>
      </c>
      <c r="H41" s="125" t="n">
        <v>1094</v>
      </c>
      <c r="I41" s="125" t="n">
        <v>4142</v>
      </c>
      <c r="J41" s="126" t="n">
        <v>1539.94</v>
      </c>
      <c r="K41" s="126" t="n">
        <v>1562.57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欣興(3037)</t>
        </is>
      </c>
      <c r="E42" s="125" t="n">
        <v>48</v>
      </c>
      <c r="F42" s="125" t="n">
        <v>24</v>
      </c>
      <c r="G42" s="125" t="n">
        <v>5200</v>
      </c>
      <c r="H42" s="125" t="n">
        <v>2561</v>
      </c>
      <c r="I42" s="125" t="n">
        <v>2639</v>
      </c>
      <c r="J42" s="126" t="n">
        <v>1083.23</v>
      </c>
      <c r="K42" s="126" t="n">
        <v>1067.04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南亞科(2408)</t>
        </is>
      </c>
      <c r="E43" s="125" t="n">
        <v>117</v>
      </c>
      <c r="F43" s="125" t="n">
        <v>62</v>
      </c>
      <c r="G43" s="125" t="n">
        <v>4858</v>
      </c>
      <c r="H43" s="125" t="n">
        <v>2563</v>
      </c>
      <c r="I43" s="125" t="n">
        <v>2295</v>
      </c>
      <c r="J43" s="126" t="n">
        <v>415.25</v>
      </c>
      <c r="K43" s="126" t="n">
        <v>413.42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高力(8996)</t>
        </is>
      </c>
      <c r="E44" s="125" t="n">
        <v>29</v>
      </c>
      <c r="F44" s="125" t="n">
        <v>13</v>
      </c>
      <c r="G44" s="125" t="n">
        <v>4523</v>
      </c>
      <c r="H44" s="125" t="n">
        <v>2032</v>
      </c>
      <c r="I44" s="125" t="n">
        <v>2491</v>
      </c>
      <c r="J44" s="126" t="n">
        <v>1559.55</v>
      </c>
      <c r="K44" s="126" t="n">
        <v>1562.92</v>
      </c>
      <c r="L44" s="232">
        <f>F44*(K44-J44)</f>
        <v/>
      </c>
    </row>
    <row r="45" ht="16.5" customHeight="1">
      <c r="A45" s="128" t="n"/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A46" s="127" t="n"/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創意(3443)</t>
        </is>
      </c>
      <c r="E46" s="125" t="n">
        <v>13</v>
      </c>
      <c r="F46" s="125" t="n">
        <v>5</v>
      </c>
      <c r="G46" s="125" t="n">
        <v>9555</v>
      </c>
      <c r="H46" s="125" t="n">
        <v>3859</v>
      </c>
      <c r="I46" s="125" t="n">
        <v>5696</v>
      </c>
      <c r="J46" s="126" t="n">
        <v>7350.31</v>
      </c>
      <c r="K46" s="126" t="n">
        <v>7718.6</v>
      </c>
      <c r="L46" s="232">
        <f>F46*(K46-J46)</f>
        <v/>
      </c>
    </row>
    <row r="47" ht="16.5" customHeight="1">
      <c r="A47" s="127" t="n"/>
      <c r="B47" s="127" t="n"/>
      <c r="C47" s="127" t="n"/>
      <c r="D47" s="124" t="inlineStr">
        <is>
          <t>富喬(1815)</t>
        </is>
      </c>
      <c r="E47" s="125" t="n">
        <v>614</v>
      </c>
      <c r="F47" s="125" t="n">
        <v>348</v>
      </c>
      <c r="G47" s="125" t="n">
        <v>9047</v>
      </c>
      <c r="H47" s="125" t="n">
        <v>4927</v>
      </c>
      <c r="I47" s="125" t="n">
        <v>4120</v>
      </c>
      <c r="J47" s="126" t="n">
        <v>147.34</v>
      </c>
      <c r="K47" s="126" t="n">
        <v>141.57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聯茂(6213)</t>
        </is>
      </c>
      <c r="E48" s="125" t="n">
        <v>84</v>
      </c>
      <c r="F48" s="125" t="n">
        <v>73</v>
      </c>
      <c r="G48" s="125" t="n">
        <v>6504</v>
      </c>
      <c r="H48" s="125" t="n">
        <v>5660</v>
      </c>
      <c r="I48" s="125" t="n">
        <v>844</v>
      </c>
      <c r="J48" s="126" t="n">
        <v>774.24</v>
      </c>
      <c r="K48" s="126" t="n">
        <v>775.29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台積電(2330)</t>
        </is>
      </c>
      <c r="E49" s="125" t="n">
        <v>20</v>
      </c>
      <c r="F49" s="125" t="n">
        <v>1</v>
      </c>
      <c r="G49" s="125" t="n">
        <v>4869</v>
      </c>
      <c r="H49" s="125" t="n">
        <v>149</v>
      </c>
      <c r="I49" s="125" t="n">
        <v>4720</v>
      </c>
      <c r="J49" s="126" t="n">
        <v>2434.55</v>
      </c>
      <c r="K49" s="126" t="n">
        <v>1493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華碩(2357)</t>
        </is>
      </c>
      <c r="E50" s="125" t="n">
        <v>38</v>
      </c>
      <c r="F50" s="125" t="n">
        <v>0</v>
      </c>
      <c r="G50" s="125" t="n">
        <v>3627</v>
      </c>
      <c r="H50" s="125" t="n">
        <v>0</v>
      </c>
      <c r="I50" s="125" t="n">
        <v>3627</v>
      </c>
      <c r="J50" s="126" t="n">
        <v>954.53</v>
      </c>
      <c r="K50" s="126" t="n">
        <v>0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穩懋(3105)</t>
        </is>
      </c>
      <c r="E51" s="125" t="n">
        <v>62</v>
      </c>
      <c r="F51" s="125" t="n">
        <v>1</v>
      </c>
      <c r="G51" s="125" t="n">
        <v>3245</v>
      </c>
      <c r="H51" s="125" t="n">
        <v>55</v>
      </c>
      <c r="I51" s="125" t="n">
        <v>3190</v>
      </c>
      <c r="J51" s="126" t="n">
        <v>523.4</v>
      </c>
      <c r="K51" s="126" t="n">
        <v>549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聯發科(2454)</t>
        </is>
      </c>
      <c r="E52" s="125" t="n">
        <v>5</v>
      </c>
      <c r="F52" s="125" t="n">
        <v>4</v>
      </c>
      <c r="G52" s="125" t="n">
        <v>1942</v>
      </c>
      <c r="H52" s="125" t="n">
        <v>1505</v>
      </c>
      <c r="I52" s="125" t="n">
        <v>437</v>
      </c>
      <c r="J52" s="126" t="n">
        <v>3884.6</v>
      </c>
      <c r="K52" s="126" t="n">
        <v>3763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高力(8996)</t>
        </is>
      </c>
      <c r="E53" s="125" t="n">
        <v>11</v>
      </c>
      <c r="F53" s="125" t="n">
        <v>5</v>
      </c>
      <c r="G53" s="125" t="n">
        <v>1664</v>
      </c>
      <c r="H53" s="125" t="n">
        <v>785</v>
      </c>
      <c r="I53" s="125" t="n">
        <v>879</v>
      </c>
      <c r="J53" s="126" t="n">
        <v>1512.27</v>
      </c>
      <c r="K53" s="126" t="n">
        <v>1570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國巨*(2327)</t>
        </is>
      </c>
      <c r="E54" s="125" t="n">
        <v>22</v>
      </c>
      <c r="F54" s="125" t="n">
        <v>18</v>
      </c>
      <c r="G54" s="125" t="n">
        <v>1104</v>
      </c>
      <c r="H54" s="125" t="n">
        <v>893</v>
      </c>
      <c r="I54" s="125" t="n">
        <v>211</v>
      </c>
      <c r="J54" s="126" t="n">
        <v>502</v>
      </c>
      <c r="K54" s="126" t="n">
        <v>496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台表科(6278)</t>
        </is>
      </c>
      <c r="E55" s="125" t="n">
        <v>28</v>
      </c>
      <c r="F55" s="125" t="n">
        <v>5</v>
      </c>
      <c r="G55" s="125" t="n">
        <v>839</v>
      </c>
      <c r="H55" s="125" t="n">
        <v>154</v>
      </c>
      <c r="I55" s="125" t="n">
        <v>685</v>
      </c>
      <c r="J55" s="126" t="n">
        <v>299.79</v>
      </c>
      <c r="K55" s="126" t="n">
        <v>308.8</v>
      </c>
      <c r="L55" s="232">
        <f>F55*(K55-J55)</f>
        <v/>
      </c>
    </row>
    <row r="56" ht="16.5" customHeight="1">
      <c r="A56" s="128" t="n"/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A57" s="127" t="n"/>
      <c r="B57" s="123" t="inlineStr">
        <is>
          <t>宏遠證券</t>
        </is>
      </c>
      <c r="C57" s="123" t="inlineStr">
        <is>
          <t>1260</t>
        </is>
      </c>
      <c r="D57" s="124" t="inlineStr">
        <is>
          <t>台積電(2330)</t>
        </is>
      </c>
      <c r="E57" s="125" t="n">
        <v>107</v>
      </c>
      <c r="F57" s="125" t="n">
        <v>18</v>
      </c>
      <c r="G57" s="125" t="n">
        <v>25683</v>
      </c>
      <c r="H57" s="125" t="n">
        <v>4349</v>
      </c>
      <c r="I57" s="125" t="n">
        <v>21334</v>
      </c>
      <c r="J57" s="126" t="n">
        <v>2400.26</v>
      </c>
      <c r="K57" s="126" t="n">
        <v>2416.11</v>
      </c>
      <c r="L57" s="232">
        <f>F57*(K57-J57)</f>
        <v/>
      </c>
    </row>
    <row r="58" ht="16.5" customHeight="1">
      <c r="A58" s="127" t="n"/>
      <c r="B58" s="127" t="n"/>
      <c r="C58" s="127" t="n"/>
      <c r="D58" s="124" t="inlineStr">
        <is>
          <t>南亞(1303)</t>
        </is>
      </c>
      <c r="E58" s="125" t="n">
        <v>560</v>
      </c>
      <c r="F58" s="125" t="n">
        <v>64</v>
      </c>
      <c r="G58" s="125" t="n">
        <v>17549</v>
      </c>
      <c r="H58" s="125" t="n">
        <v>1954</v>
      </c>
      <c r="I58" s="125" t="n">
        <v>15595</v>
      </c>
      <c r="J58" s="126" t="n">
        <v>313.37</v>
      </c>
      <c r="K58" s="126" t="n">
        <v>305.3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景碩(3189)</t>
        </is>
      </c>
      <c r="E59" s="125" t="n">
        <v>136</v>
      </c>
      <c r="F59" s="125" t="n">
        <v>8</v>
      </c>
      <c r="G59" s="125" t="n">
        <v>13509</v>
      </c>
      <c r="H59" s="125" t="n">
        <v>832</v>
      </c>
      <c r="I59" s="125" t="n">
        <v>12677</v>
      </c>
      <c r="J59" s="126" t="n">
        <v>993.34</v>
      </c>
      <c r="K59" s="126" t="n">
        <v>1039.88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華新科(2492)</t>
        </is>
      </c>
      <c r="E60" s="125" t="n">
        <v>274</v>
      </c>
      <c r="F60" s="125" t="n">
        <v>14</v>
      </c>
      <c r="G60" s="125" t="n">
        <v>10487</v>
      </c>
      <c r="H60" s="125" t="n">
        <v>540</v>
      </c>
      <c r="I60" s="125" t="n">
        <v>9947</v>
      </c>
      <c r="J60" s="126" t="n">
        <v>382.75</v>
      </c>
      <c r="K60" s="126" t="n">
        <v>385.5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健策(3653)</t>
        </is>
      </c>
      <c r="E61" s="125" t="n">
        <v>13</v>
      </c>
      <c r="F61" s="125" t="n">
        <v>7</v>
      </c>
      <c r="G61" s="125" t="n">
        <v>8150</v>
      </c>
      <c r="H61" s="125" t="n">
        <v>4348</v>
      </c>
      <c r="I61" s="125" t="n">
        <v>3802</v>
      </c>
      <c r="J61" s="126" t="n">
        <v>6269.46</v>
      </c>
      <c r="K61" s="126" t="n">
        <v>6212.14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台玻(1802)</t>
        </is>
      </c>
      <c r="E62" s="125" t="n">
        <v>1118</v>
      </c>
      <c r="F62" s="125" t="n">
        <v>145</v>
      </c>
      <c r="G62" s="125" t="n">
        <v>7942</v>
      </c>
      <c r="H62" s="125" t="n">
        <v>1020</v>
      </c>
      <c r="I62" s="125" t="n">
        <v>6922</v>
      </c>
      <c r="J62" s="126" t="n">
        <v>71.03</v>
      </c>
      <c r="K62" s="126" t="n">
        <v>70.31999999999999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天二科技(6834)</t>
        </is>
      </c>
      <c r="E63" s="125" t="n">
        <v>528</v>
      </c>
      <c r="F63" s="125" t="n">
        <v>30</v>
      </c>
      <c r="G63" s="125" t="n">
        <v>7087</v>
      </c>
      <c r="H63" s="125" t="n">
        <v>418</v>
      </c>
      <c r="I63" s="125" t="n">
        <v>6669</v>
      </c>
      <c r="J63" s="126" t="n">
        <v>134.22</v>
      </c>
      <c r="K63" s="126" t="n">
        <v>139.47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鴻海(2317)</t>
        </is>
      </c>
      <c r="E64" s="125" t="n">
        <v>202</v>
      </c>
      <c r="F64" s="125" t="n">
        <v>12</v>
      </c>
      <c r="G64" s="125" t="n">
        <v>4971</v>
      </c>
      <c r="H64" s="125" t="n">
        <v>300</v>
      </c>
      <c r="I64" s="125" t="n">
        <v>4671</v>
      </c>
      <c r="J64" s="126" t="n">
        <v>246.1</v>
      </c>
      <c r="K64" s="126" t="n">
        <v>249.58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愛普*(6531)</t>
        </is>
      </c>
      <c r="E65" s="125" t="n">
        <v>46</v>
      </c>
      <c r="F65" s="125" t="n">
        <v>1</v>
      </c>
      <c r="G65" s="125" t="n">
        <v>3757</v>
      </c>
      <c r="H65" s="125" t="n">
        <v>80</v>
      </c>
      <c r="I65" s="125" t="n">
        <v>3677</v>
      </c>
      <c r="J65" s="126" t="n">
        <v>816.76</v>
      </c>
      <c r="K65" s="126" t="n">
        <v>804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國巨*(2327)</t>
        </is>
      </c>
      <c r="E66" s="125" t="n">
        <v>70</v>
      </c>
      <c r="F66" s="125" t="n">
        <v>13</v>
      </c>
      <c r="G66" s="125" t="n">
        <v>3637</v>
      </c>
      <c r="H66" s="125" t="n">
        <v>730</v>
      </c>
      <c r="I66" s="125" t="n">
        <v>2907</v>
      </c>
      <c r="J66" s="126" t="n">
        <v>519.51</v>
      </c>
      <c r="K66" s="126" t="n">
        <v>561.6900000000001</v>
      </c>
      <c r="L66" s="232">
        <f>F66*(K66-J66)</f>
        <v/>
      </c>
    </row>
    <row r="67" ht="16.5" customHeight="1">
      <c r="A67" s="128" t="n"/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A68" s="127" t="n"/>
      <c r="B68" s="123" t="inlineStr">
        <is>
          <t>凱基-信義</t>
        </is>
      </c>
      <c r="C68" s="123" t="inlineStr">
        <is>
          <t>9216</t>
        </is>
      </c>
      <c r="D68" s="124" t="inlineStr">
        <is>
          <t>臻鼎-KY(4958)</t>
        </is>
      </c>
      <c r="E68" s="125" t="n">
        <v>197</v>
      </c>
      <c r="F68" s="125" t="n">
        <v>18</v>
      </c>
      <c r="G68" s="125" t="n">
        <v>11428</v>
      </c>
      <c r="H68" s="125" t="n">
        <v>1072</v>
      </c>
      <c r="I68" s="125" t="n">
        <v>10356</v>
      </c>
      <c r="J68" s="126" t="n">
        <v>580.11</v>
      </c>
      <c r="K68" s="126" t="n">
        <v>595.78</v>
      </c>
      <c r="L68" s="232">
        <f>F68*(K68-J68)</f>
        <v/>
      </c>
    </row>
    <row r="69" ht="16.5" customHeight="1">
      <c r="A69" s="127" t="n"/>
      <c r="B69" s="127" t="n"/>
      <c r="C69" s="127" t="n"/>
      <c r="D69" s="124" t="inlineStr">
        <is>
          <t>健策(3653)</t>
        </is>
      </c>
      <c r="E69" s="125" t="n">
        <v>16</v>
      </c>
      <c r="F69" s="125" t="n">
        <v>10</v>
      </c>
      <c r="G69" s="125" t="n">
        <v>9458</v>
      </c>
      <c r="H69" s="125" t="n">
        <v>6186</v>
      </c>
      <c r="I69" s="125" t="n">
        <v>3272</v>
      </c>
      <c r="J69" s="126" t="n">
        <v>5911.44</v>
      </c>
      <c r="K69" s="126" t="n">
        <v>6186.5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川湖(2059)</t>
        </is>
      </c>
      <c r="E70" s="125" t="n">
        <v>5</v>
      </c>
      <c r="F70" s="125" t="n">
        <v>0</v>
      </c>
      <c r="G70" s="125" t="n">
        <v>4940</v>
      </c>
      <c r="H70" s="125" t="n">
        <v>0</v>
      </c>
      <c r="I70" s="125" t="n">
        <v>4940</v>
      </c>
      <c r="J70" s="126" t="n">
        <v>9880</v>
      </c>
      <c r="K70" s="126" t="n">
        <v>0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揚博(2493)</t>
        </is>
      </c>
      <c r="E71" s="125" t="n">
        <v>240</v>
      </c>
      <c r="F71" s="125" t="n">
        <v>0</v>
      </c>
      <c r="G71" s="125" t="n">
        <v>4739</v>
      </c>
      <c r="H71" s="125" t="n">
        <v>0</v>
      </c>
      <c r="I71" s="125" t="n">
        <v>4739</v>
      </c>
      <c r="J71" s="126" t="n">
        <v>197.45</v>
      </c>
      <c r="K71" s="126" t="n">
        <v>0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大聯大(3702)</t>
        </is>
      </c>
      <c r="E72" s="125" t="n">
        <v>400</v>
      </c>
      <c r="F72" s="125" t="n">
        <v>0</v>
      </c>
      <c r="G72" s="125" t="n">
        <v>4580</v>
      </c>
      <c r="H72" s="125" t="n">
        <v>0</v>
      </c>
      <c r="I72" s="125" t="n">
        <v>4580</v>
      </c>
      <c r="J72" s="126" t="n">
        <v>114.5</v>
      </c>
      <c r="K72" s="126" t="n">
        <v>0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愛普*(6531)</t>
        </is>
      </c>
      <c r="E73" s="125" t="n">
        <v>33</v>
      </c>
      <c r="F73" s="125" t="n">
        <v>23</v>
      </c>
      <c r="G73" s="125" t="n">
        <v>2626</v>
      </c>
      <c r="H73" s="125" t="n">
        <v>1834</v>
      </c>
      <c r="I73" s="125" t="n">
        <v>792</v>
      </c>
      <c r="J73" s="126" t="n">
        <v>795.88</v>
      </c>
      <c r="K73" s="126" t="n">
        <v>797.61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漢達(6620)</t>
        </is>
      </c>
      <c r="E74" s="125" t="n">
        <v>150</v>
      </c>
      <c r="F74" s="125" t="n">
        <v>3</v>
      </c>
      <c r="G74" s="125" t="n">
        <v>2181</v>
      </c>
      <c r="H74" s="125" t="n">
        <v>42</v>
      </c>
      <c r="I74" s="125" t="n">
        <v>2139</v>
      </c>
      <c r="J74" s="126" t="n">
        <v>145.39</v>
      </c>
      <c r="K74" s="126" t="n">
        <v>141.67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旺矽(6223)</t>
        </is>
      </c>
      <c r="E75" s="125" t="n">
        <v>4</v>
      </c>
      <c r="F75" s="125" t="n">
        <v>1</v>
      </c>
      <c r="G75" s="125" t="n">
        <v>2049</v>
      </c>
      <c r="H75" s="125" t="n">
        <v>551</v>
      </c>
      <c r="I75" s="125" t="n">
        <v>1498</v>
      </c>
      <c r="J75" s="126" t="n">
        <v>5122.25</v>
      </c>
      <c r="K75" s="126" t="n">
        <v>5507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穩懋(3105)</t>
        </is>
      </c>
      <c r="E76" s="125" t="n">
        <v>34</v>
      </c>
      <c r="F76" s="125" t="n">
        <v>19</v>
      </c>
      <c r="G76" s="125" t="n">
        <v>1727</v>
      </c>
      <c r="H76" s="125" t="n">
        <v>951</v>
      </c>
      <c r="I76" s="125" t="n">
        <v>776</v>
      </c>
      <c r="J76" s="126" t="n">
        <v>507.85</v>
      </c>
      <c r="K76" s="126" t="n">
        <v>500.68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鴻勁(7769)</t>
        </is>
      </c>
      <c r="E77" s="125" t="n">
        <v>3</v>
      </c>
      <c r="F77" s="125" t="n">
        <v>0</v>
      </c>
      <c r="G77" s="125" t="n">
        <v>1612</v>
      </c>
      <c r="H77" s="125" t="n">
        <v>0</v>
      </c>
      <c r="I77" s="125" t="n">
        <v>1612</v>
      </c>
      <c r="J77" s="126" t="n">
        <v>5372.67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天品(6199)</t>
        </is>
      </c>
      <c r="E79" s="132" t="n">
        <v>1388</v>
      </c>
      <c r="F79" s="132" t="n">
        <v>568</v>
      </c>
      <c r="G79" s="132" t="n">
        <v>20701</v>
      </c>
      <c r="H79" s="132" t="n">
        <v>8441</v>
      </c>
      <c r="I79" s="132" t="n">
        <v>12260</v>
      </c>
      <c r="J79" s="133" t="n">
        <v>149.15</v>
      </c>
      <c r="K79" s="133" t="n">
        <v>148.61</v>
      </c>
      <c r="L79" s="233">
        <f>F79*(K79-J79)</f>
        <v/>
      </c>
    </row>
    <row r="80" ht="16.5" customHeight="1">
      <c r="A80" s="134" t="n"/>
      <c r="B80" s="134" t="n"/>
      <c r="C80" s="134" t="n"/>
      <c r="D80" s="131" t="inlineStr">
        <is>
          <t>愛普*(6531)</t>
        </is>
      </c>
      <c r="E80" s="132" t="n">
        <v>191</v>
      </c>
      <c r="F80" s="132" t="n">
        <v>3</v>
      </c>
      <c r="G80" s="132" t="n">
        <v>15458</v>
      </c>
      <c r="H80" s="132" t="n">
        <v>243</v>
      </c>
      <c r="I80" s="132" t="n">
        <v>15215</v>
      </c>
      <c r="J80" s="133" t="n">
        <v>809.3099999999999</v>
      </c>
      <c r="K80" s="133" t="n">
        <v>810.67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聯茂(6213)</t>
        </is>
      </c>
      <c r="E81" s="132" t="n">
        <v>173</v>
      </c>
      <c r="F81" s="132" t="n">
        <v>21</v>
      </c>
      <c r="G81" s="132" t="n">
        <v>14703</v>
      </c>
      <c r="H81" s="132" t="n">
        <v>1754</v>
      </c>
      <c r="I81" s="132" t="n">
        <v>12949</v>
      </c>
      <c r="J81" s="133" t="n">
        <v>849.9</v>
      </c>
      <c r="K81" s="133" t="n">
        <v>835.4299999999999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台燿(6274)</t>
        </is>
      </c>
      <c r="E82" s="132" t="n">
        <v>79</v>
      </c>
      <c r="F82" s="132" t="n">
        <v>35</v>
      </c>
      <c r="G82" s="132" t="n">
        <v>11790</v>
      </c>
      <c r="H82" s="132" t="n">
        <v>5368</v>
      </c>
      <c r="I82" s="132" t="n">
        <v>6422</v>
      </c>
      <c r="J82" s="133" t="n">
        <v>1492.34</v>
      </c>
      <c r="K82" s="133" t="n">
        <v>1533.86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創意(3443)</t>
        </is>
      </c>
      <c r="E83" s="132" t="n">
        <v>11</v>
      </c>
      <c r="F83" s="132" t="n">
        <v>2</v>
      </c>
      <c r="G83" s="132" t="n">
        <v>8358</v>
      </c>
      <c r="H83" s="132" t="n">
        <v>1635</v>
      </c>
      <c r="I83" s="132" t="n">
        <v>6723</v>
      </c>
      <c r="J83" s="133" t="n">
        <v>7598.55</v>
      </c>
      <c r="K83" s="133" t="n">
        <v>8175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順德(2351)</t>
        </is>
      </c>
      <c r="E84" s="132" t="n">
        <v>376</v>
      </c>
      <c r="F84" s="132" t="n">
        <v>2</v>
      </c>
      <c r="G84" s="132" t="n">
        <v>7538</v>
      </c>
      <c r="H84" s="132" t="n">
        <v>40</v>
      </c>
      <c r="I84" s="132" t="n">
        <v>7498</v>
      </c>
      <c r="J84" s="133" t="n">
        <v>200.48</v>
      </c>
      <c r="K84" s="133" t="n">
        <v>202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大立光(3008)</t>
        </is>
      </c>
      <c r="E85" s="132" t="n">
        <v>10</v>
      </c>
      <c r="F85" s="132" t="n">
        <v>8</v>
      </c>
      <c r="G85" s="132" t="n">
        <v>6305</v>
      </c>
      <c r="H85" s="132" t="n">
        <v>5150</v>
      </c>
      <c r="I85" s="132" t="n">
        <v>1155</v>
      </c>
      <c r="J85" s="133" t="n">
        <v>6304.7</v>
      </c>
      <c r="K85" s="133" t="n">
        <v>6436.88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騰輝電子-KY(6672)</t>
        </is>
      </c>
      <c r="E86" s="132" t="n">
        <v>86</v>
      </c>
      <c r="F86" s="132" t="n">
        <v>26</v>
      </c>
      <c r="G86" s="132" t="n">
        <v>5651</v>
      </c>
      <c r="H86" s="132" t="n">
        <v>1543</v>
      </c>
      <c r="I86" s="132" t="n">
        <v>4108</v>
      </c>
      <c r="J86" s="133" t="n">
        <v>657.0700000000001</v>
      </c>
      <c r="K86" s="133" t="n">
        <v>593.42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南電(8046)</t>
        </is>
      </c>
      <c r="E87" s="132" t="n">
        <v>34</v>
      </c>
      <c r="F87" s="132" t="n">
        <v>22</v>
      </c>
      <c r="G87" s="132" t="n">
        <v>4322</v>
      </c>
      <c r="H87" s="132" t="n">
        <v>2841</v>
      </c>
      <c r="I87" s="132" t="n">
        <v>1481</v>
      </c>
      <c r="J87" s="133" t="n">
        <v>1271.06</v>
      </c>
      <c r="K87" s="133" t="n">
        <v>1291.41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華新科(2492)</t>
        </is>
      </c>
      <c r="E88" s="132" t="n">
        <v>104</v>
      </c>
      <c r="F88" s="132" t="n">
        <v>91</v>
      </c>
      <c r="G88" s="132" t="n">
        <v>3818</v>
      </c>
      <c r="H88" s="132" t="n">
        <v>3340</v>
      </c>
      <c r="I88" s="132" t="n">
        <v>478</v>
      </c>
      <c r="J88" s="133" t="n">
        <v>367.07</v>
      </c>
      <c r="K88" s="133" t="n">
        <v>367.03</v>
      </c>
      <c r="L88" s="233">
        <f>F88*(K88-J88)</f>
        <v/>
      </c>
    </row>
    <row r="89" ht="16.5" customHeight="1">
      <c r="A89" s="135" t="n"/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A90" s="134" t="n"/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台燿(6274)</t>
        </is>
      </c>
      <c r="E90" s="132" t="n">
        <v>53</v>
      </c>
      <c r="F90" s="132" t="n">
        <v>44</v>
      </c>
      <c r="G90" s="132" t="n">
        <v>7508</v>
      </c>
      <c r="H90" s="132" t="n">
        <v>6251</v>
      </c>
      <c r="I90" s="132" t="n">
        <v>1257</v>
      </c>
      <c r="J90" s="133" t="n">
        <v>1416.62</v>
      </c>
      <c r="K90" s="133" t="n">
        <v>1420.64</v>
      </c>
      <c r="L90" s="232">
        <f>F90*(K90-J90)</f>
        <v/>
      </c>
    </row>
    <row r="91" ht="16.5" customHeight="1">
      <c r="A91" s="134" t="n"/>
      <c r="B91" s="134" t="n"/>
      <c r="C91" s="134" t="n"/>
      <c r="D91" s="131" t="inlineStr">
        <is>
          <t>國巨*(2327)</t>
        </is>
      </c>
      <c r="E91" s="132" t="n">
        <v>36</v>
      </c>
      <c r="F91" s="132" t="n">
        <v>16</v>
      </c>
      <c r="G91" s="132" t="n">
        <v>1826</v>
      </c>
      <c r="H91" s="132" t="n">
        <v>819</v>
      </c>
      <c r="I91" s="132" t="n">
        <v>1007</v>
      </c>
      <c r="J91" s="133" t="n">
        <v>507.17</v>
      </c>
      <c r="K91" s="133" t="n">
        <v>511.88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南電(8046)</t>
        </is>
      </c>
      <c r="E92" s="132" t="n">
        <v>13</v>
      </c>
      <c r="F92" s="132" t="n">
        <v>3</v>
      </c>
      <c r="G92" s="132" t="n">
        <v>1670</v>
      </c>
      <c r="H92" s="132" t="n">
        <v>410</v>
      </c>
      <c r="I92" s="132" t="n">
        <v>1260</v>
      </c>
      <c r="J92" s="133" t="n">
        <v>1284.85</v>
      </c>
      <c r="K92" s="133" t="n">
        <v>1367.33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華新科(2492)</t>
        </is>
      </c>
      <c r="E93" s="132" t="n">
        <v>36</v>
      </c>
      <c r="F93" s="132" t="n">
        <v>19</v>
      </c>
      <c r="G93" s="132" t="n">
        <v>1311</v>
      </c>
      <c r="H93" s="132" t="n">
        <v>698</v>
      </c>
      <c r="I93" s="132" t="n">
        <v>613</v>
      </c>
      <c r="J93" s="133" t="n">
        <v>364.11</v>
      </c>
      <c r="K93" s="133" t="n">
        <v>367.32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精材(3374)</t>
        </is>
      </c>
      <c r="E94" s="132" t="n">
        <v>26</v>
      </c>
      <c r="F94" s="132" t="n">
        <v>18</v>
      </c>
      <c r="G94" s="132" t="n">
        <v>1213</v>
      </c>
      <c r="H94" s="132" t="n">
        <v>822</v>
      </c>
      <c r="I94" s="132" t="n">
        <v>391</v>
      </c>
      <c r="J94" s="133" t="n">
        <v>466.62</v>
      </c>
      <c r="K94" s="133" t="n">
        <v>456.5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南亞科(2408)</t>
        </is>
      </c>
      <c r="E95" s="132" t="n">
        <v>29</v>
      </c>
      <c r="F95" s="132" t="n">
        <v>5</v>
      </c>
      <c r="G95" s="132" t="n">
        <v>1185</v>
      </c>
      <c r="H95" s="132" t="n">
        <v>218</v>
      </c>
      <c r="I95" s="132" t="n">
        <v>967</v>
      </c>
      <c r="J95" s="133" t="n">
        <v>408.55</v>
      </c>
      <c r="K95" s="133" t="n">
        <v>436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欣興(3037)</t>
        </is>
      </c>
      <c r="E96" s="132" t="n">
        <v>10</v>
      </c>
      <c r="F96" s="132" t="n">
        <v>3</v>
      </c>
      <c r="G96" s="132" t="n">
        <v>1099</v>
      </c>
      <c r="H96" s="132" t="n">
        <v>375</v>
      </c>
      <c r="I96" s="132" t="n">
        <v>724</v>
      </c>
      <c r="J96" s="133" t="n">
        <v>1099.1</v>
      </c>
      <c r="K96" s="133" t="n">
        <v>1249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聯茂(6213)</t>
        </is>
      </c>
      <c r="E97" s="132" t="n">
        <v>13</v>
      </c>
      <c r="F97" s="132" t="n">
        <v>9</v>
      </c>
      <c r="G97" s="132" t="n">
        <v>1041</v>
      </c>
      <c r="H97" s="132" t="n">
        <v>697</v>
      </c>
      <c r="I97" s="132" t="n">
        <v>344</v>
      </c>
      <c r="J97" s="133" t="n">
        <v>800.46</v>
      </c>
      <c r="K97" s="133" t="n">
        <v>774.11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奇鋐(3017)</t>
        </is>
      </c>
      <c r="E98" s="132" t="n">
        <v>3</v>
      </c>
      <c r="F98" s="132" t="n">
        <v>2</v>
      </c>
      <c r="G98" s="132" t="n">
        <v>981</v>
      </c>
      <c r="H98" s="132" t="n">
        <v>676</v>
      </c>
      <c r="I98" s="132" t="n">
        <v>305</v>
      </c>
      <c r="J98" s="133" t="n">
        <v>3270</v>
      </c>
      <c r="K98" s="133" t="n">
        <v>3380.5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廣達(2382)</t>
        </is>
      </c>
      <c r="E99" s="132" t="n">
        <v>27</v>
      </c>
      <c r="F99" s="132" t="n">
        <v>1</v>
      </c>
      <c r="G99" s="132" t="n">
        <v>881</v>
      </c>
      <c r="H99" s="132" t="n">
        <v>2</v>
      </c>
      <c r="I99" s="132" t="n">
        <v>879</v>
      </c>
      <c r="J99" s="133" t="n">
        <v>326.19</v>
      </c>
      <c r="K99" s="133" t="n">
        <v>16</v>
      </c>
      <c r="L99" s="233">
        <f>F99*(K99-J99)</f>
        <v/>
      </c>
    </row>
    <row r="100" ht="16.5" customHeight="1">
      <c r="A100" s="135" t="n"/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A101" s="134" t="n"/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台積電(2330)</t>
        </is>
      </c>
      <c r="E101" s="132" t="n">
        <v>109</v>
      </c>
      <c r="F101" s="132" t="n">
        <v>23</v>
      </c>
      <c r="G101" s="132" t="n">
        <v>26158</v>
      </c>
      <c r="H101" s="132" t="n">
        <v>5495</v>
      </c>
      <c r="I101" s="132" t="n">
        <v>20663</v>
      </c>
      <c r="J101" s="133" t="n">
        <v>2399.85</v>
      </c>
      <c r="K101" s="133" t="n">
        <v>2389.3</v>
      </c>
      <c r="L101" s="233">
        <f>F101*(K101-J101)</f>
        <v/>
      </c>
    </row>
    <row r="102" ht="16.5" customHeight="1">
      <c r="A102" s="134" t="n"/>
      <c r="B102" s="134" t="n"/>
      <c r="C102" s="134" t="n"/>
      <c r="D102" s="131" t="inlineStr">
        <is>
          <t>聯茂(6213)</t>
        </is>
      </c>
      <c r="E102" s="132" t="n">
        <v>166</v>
      </c>
      <c r="F102" s="132" t="n">
        <v>66</v>
      </c>
      <c r="G102" s="132" t="n">
        <v>13679</v>
      </c>
      <c r="H102" s="132" t="n">
        <v>5444</v>
      </c>
      <c r="I102" s="132" t="n">
        <v>8235</v>
      </c>
      <c r="J102" s="133" t="n">
        <v>824.04</v>
      </c>
      <c r="K102" s="133" t="n">
        <v>824.79</v>
      </c>
      <c r="L102" s="232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景碩(3189)</t>
        </is>
      </c>
      <c r="E103" s="132" t="n">
        <v>101</v>
      </c>
      <c r="F103" s="132" t="n">
        <v>18</v>
      </c>
      <c r="G103" s="132" t="n">
        <v>10069</v>
      </c>
      <c r="H103" s="132" t="n">
        <v>1860</v>
      </c>
      <c r="I103" s="132" t="n">
        <v>8209</v>
      </c>
      <c r="J103" s="133" t="n">
        <v>996.9400000000001</v>
      </c>
      <c r="K103" s="133" t="n">
        <v>1033.61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騰輝電子-KY(6672)</t>
        </is>
      </c>
      <c r="E104" s="132" t="n">
        <v>101</v>
      </c>
      <c r="F104" s="132" t="n">
        <v>23</v>
      </c>
      <c r="G104" s="132" t="n">
        <v>6284</v>
      </c>
      <c r="H104" s="132" t="n">
        <v>1406</v>
      </c>
      <c r="I104" s="132" t="n">
        <v>4878</v>
      </c>
      <c r="J104" s="133" t="n">
        <v>622.16</v>
      </c>
      <c r="K104" s="133" t="n">
        <v>611.17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奇鋐(3017)</t>
        </is>
      </c>
      <c r="E105" s="132" t="n">
        <v>16</v>
      </c>
      <c r="F105" s="132" t="n">
        <v>12</v>
      </c>
      <c r="G105" s="132" t="n">
        <v>5152</v>
      </c>
      <c r="H105" s="132" t="n">
        <v>3690</v>
      </c>
      <c r="I105" s="132" t="n">
        <v>1462</v>
      </c>
      <c r="J105" s="133" t="n">
        <v>3219.81</v>
      </c>
      <c r="K105" s="133" t="n">
        <v>3075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國巨*(2327)</t>
        </is>
      </c>
      <c r="E106" s="132" t="n">
        <v>98</v>
      </c>
      <c r="F106" s="132" t="n">
        <v>29</v>
      </c>
      <c r="G106" s="132" t="n">
        <v>5110</v>
      </c>
      <c r="H106" s="132" t="n">
        <v>1524</v>
      </c>
      <c r="I106" s="132" t="n">
        <v>3586</v>
      </c>
      <c r="J106" s="133" t="n">
        <v>521.47</v>
      </c>
      <c r="K106" s="133" t="n">
        <v>525.34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元創精密(3685)</t>
        </is>
      </c>
      <c r="E107" s="132" t="n">
        <v>1291</v>
      </c>
      <c r="F107" s="132" t="n">
        <v>1</v>
      </c>
      <c r="G107" s="132" t="n">
        <v>4309</v>
      </c>
      <c r="H107" s="132" t="n">
        <v>3</v>
      </c>
      <c r="I107" s="132" t="n">
        <v>4306</v>
      </c>
      <c r="J107" s="133" t="n">
        <v>33.38</v>
      </c>
      <c r="K107" s="133" t="n">
        <v>34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緯穎(6669)</t>
        </is>
      </c>
      <c r="E108" s="132" t="n">
        <v>22</v>
      </c>
      <c r="F108" s="132" t="n">
        <v>8</v>
      </c>
      <c r="G108" s="132" t="n">
        <v>4114</v>
      </c>
      <c r="H108" s="132" t="n">
        <v>1496</v>
      </c>
      <c r="I108" s="132" t="n">
        <v>2618</v>
      </c>
      <c r="J108" s="133" t="n">
        <v>1870.14</v>
      </c>
      <c r="K108" s="133" t="n">
        <v>1869.75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牧德(3563)</t>
        </is>
      </c>
      <c r="E109" s="132" t="n">
        <v>53</v>
      </c>
      <c r="F109" s="132" t="n">
        <v>0</v>
      </c>
      <c r="G109" s="132" t="n">
        <v>3486</v>
      </c>
      <c r="H109" s="132" t="n">
        <v>0</v>
      </c>
      <c r="I109" s="132" t="n">
        <v>3486</v>
      </c>
      <c r="J109" s="133" t="n">
        <v>657.79</v>
      </c>
      <c r="K109" s="133" t="n">
        <v>0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高力(8996)</t>
        </is>
      </c>
      <c r="E110" s="132" t="n">
        <v>20</v>
      </c>
      <c r="F110" s="132" t="n">
        <v>10</v>
      </c>
      <c r="G110" s="132" t="n">
        <v>3139</v>
      </c>
      <c r="H110" s="132" t="n">
        <v>1486</v>
      </c>
      <c r="I110" s="132" t="n">
        <v>1653</v>
      </c>
      <c r="J110" s="133" t="n">
        <v>1569.6</v>
      </c>
      <c r="K110" s="133" t="n">
        <v>1485.6</v>
      </c>
      <c r="L110" s="233">
        <f>F110*(K110-J110)</f>
        <v/>
      </c>
    </row>
    <row r="111" ht="16.5" customHeight="1">
      <c r="A111" s="135" t="n"/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A112" s="134" t="n"/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南電(8046)</t>
        </is>
      </c>
      <c r="E112" s="132" t="n">
        <v>65</v>
      </c>
      <c r="F112" s="132" t="n">
        <v>5</v>
      </c>
      <c r="G112" s="132" t="n">
        <v>9010</v>
      </c>
      <c r="H112" s="132" t="n">
        <v>663</v>
      </c>
      <c r="I112" s="132" t="n">
        <v>8347</v>
      </c>
      <c r="J112" s="133" t="n">
        <v>1386.23</v>
      </c>
      <c r="K112" s="133" t="n">
        <v>1326</v>
      </c>
      <c r="L112" s="233">
        <f>F112*(K112-J112)</f>
        <v/>
      </c>
    </row>
    <row r="113" ht="16.5" customHeight="1">
      <c r="A113" s="134" t="n"/>
      <c r="B113" s="134" t="n"/>
      <c r="C113" s="134" t="n"/>
      <c r="D113" s="131" t="inlineStr">
        <is>
          <t>欣興(3037)</t>
        </is>
      </c>
      <c r="E113" s="132" t="n">
        <v>80</v>
      </c>
      <c r="F113" s="132" t="n">
        <v>73</v>
      </c>
      <c r="G113" s="132" t="n">
        <v>8728</v>
      </c>
      <c r="H113" s="132" t="n">
        <v>7955</v>
      </c>
      <c r="I113" s="132" t="n">
        <v>773</v>
      </c>
      <c r="J113" s="133" t="n">
        <v>1090.94</v>
      </c>
      <c r="K113" s="133" t="n">
        <v>1089.7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大同(2371)</t>
        </is>
      </c>
      <c r="E114" s="132" t="n">
        <v>2002</v>
      </c>
      <c r="F114" s="132" t="n">
        <v>1951</v>
      </c>
      <c r="G114" s="132" t="n">
        <v>5666</v>
      </c>
      <c r="H114" s="132" t="n">
        <v>5521</v>
      </c>
      <c r="I114" s="132" t="n">
        <v>145</v>
      </c>
      <c r="J114" s="133" t="n">
        <v>28.3</v>
      </c>
      <c r="K114" s="133" t="n">
        <v>28.3</v>
      </c>
      <c r="L114" s="232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聯發科(2454)</t>
        </is>
      </c>
      <c r="E115" s="132" t="n">
        <v>14</v>
      </c>
      <c r="F115" s="132" t="n">
        <v>4</v>
      </c>
      <c r="G115" s="132" t="n">
        <v>5430</v>
      </c>
      <c r="H115" s="132" t="n">
        <v>1680</v>
      </c>
      <c r="I115" s="132" t="n">
        <v>3750</v>
      </c>
      <c r="J115" s="133" t="n">
        <v>3878.71</v>
      </c>
      <c r="K115" s="133" t="n">
        <v>4199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台積電(2330)</t>
        </is>
      </c>
      <c r="E116" s="132" t="n">
        <v>14</v>
      </c>
      <c r="F116" s="132" t="n">
        <v>1</v>
      </c>
      <c r="G116" s="132" t="n">
        <v>3306</v>
      </c>
      <c r="H116" s="132" t="n">
        <v>144</v>
      </c>
      <c r="I116" s="132" t="n">
        <v>3162</v>
      </c>
      <c r="J116" s="133" t="n">
        <v>2361.29</v>
      </c>
      <c r="K116" s="133" t="n">
        <v>1437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台玻(1802)</t>
        </is>
      </c>
      <c r="E117" s="132" t="n">
        <v>417</v>
      </c>
      <c r="F117" s="132" t="n">
        <v>237</v>
      </c>
      <c r="G117" s="132" t="n">
        <v>2894</v>
      </c>
      <c r="H117" s="132" t="n">
        <v>1623</v>
      </c>
      <c r="I117" s="132" t="n">
        <v>1271</v>
      </c>
      <c r="J117" s="133" t="n">
        <v>69.41</v>
      </c>
      <c r="K117" s="133" t="n">
        <v>68.48999999999999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華新科(2492)</t>
        </is>
      </c>
      <c r="E118" s="132" t="n">
        <v>69</v>
      </c>
      <c r="F118" s="132" t="n">
        <v>33</v>
      </c>
      <c r="G118" s="132" t="n">
        <v>2708</v>
      </c>
      <c r="H118" s="132" t="n">
        <v>1256</v>
      </c>
      <c r="I118" s="132" t="n">
        <v>1452</v>
      </c>
      <c r="J118" s="133" t="n">
        <v>392.52</v>
      </c>
      <c r="K118" s="133" t="n">
        <v>380.45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國巨*(2327)</t>
        </is>
      </c>
      <c r="E119" s="132" t="n">
        <v>51</v>
      </c>
      <c r="F119" s="132" t="n">
        <v>7</v>
      </c>
      <c r="G119" s="132" t="n">
        <v>2650</v>
      </c>
      <c r="H119" s="132" t="n">
        <v>375</v>
      </c>
      <c r="I119" s="132" t="n">
        <v>2275</v>
      </c>
      <c r="J119" s="133" t="n">
        <v>519.59</v>
      </c>
      <c r="K119" s="133" t="n">
        <v>536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聯茂(6213)</t>
        </is>
      </c>
      <c r="E120" s="132" t="n">
        <v>27</v>
      </c>
      <c r="F120" s="132" t="n">
        <v>14</v>
      </c>
      <c r="G120" s="132" t="n">
        <v>2096</v>
      </c>
      <c r="H120" s="132" t="n">
        <v>1106</v>
      </c>
      <c r="I120" s="132" t="n">
        <v>990</v>
      </c>
      <c r="J120" s="133" t="n">
        <v>776.22</v>
      </c>
      <c r="K120" s="133" t="n">
        <v>790.0700000000001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創意(3443)</t>
        </is>
      </c>
      <c r="E121" s="132" t="n">
        <v>2</v>
      </c>
      <c r="F121" s="132" t="n">
        <v>1</v>
      </c>
      <c r="G121" s="132" t="n">
        <v>1745</v>
      </c>
      <c r="H121" s="132" t="n">
        <v>781</v>
      </c>
      <c r="I121" s="132" t="n">
        <v>964</v>
      </c>
      <c r="J121" s="133" t="n">
        <v>8724</v>
      </c>
      <c r="K121" s="133" t="n">
        <v>7813</v>
      </c>
      <c r="L121" s="233">
        <f>F121*(K121-J121)</f>
        <v/>
      </c>
    </row>
    <row r="122" ht="16.5" customHeight="1">
      <c r="A122" s="135" t="n"/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A123" s="134" t="n"/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信昌電(6173)</t>
        </is>
      </c>
      <c r="E123" s="132" t="n">
        <v>149</v>
      </c>
      <c r="F123" s="132" t="n">
        <v>138</v>
      </c>
      <c r="G123" s="132" t="n">
        <v>4366</v>
      </c>
      <c r="H123" s="132" t="n">
        <v>4050</v>
      </c>
      <c r="I123" s="132" t="n">
        <v>316</v>
      </c>
      <c r="J123" s="133" t="n">
        <v>293.01</v>
      </c>
      <c r="K123" s="133" t="n">
        <v>293.45</v>
      </c>
      <c r="L123" s="232">
        <f>F123*(K123-J123)</f>
        <v/>
      </c>
    </row>
    <row r="124" ht="16.5" customHeight="1">
      <c r="A124" s="134" t="n"/>
      <c r="B124" s="134" t="n"/>
      <c r="C124" s="134" t="n"/>
      <c r="D124" s="131" t="inlineStr">
        <is>
          <t>台燿(6274)</t>
        </is>
      </c>
      <c r="E124" s="132" t="n">
        <v>30</v>
      </c>
      <c r="F124" s="132" t="n">
        <v>19</v>
      </c>
      <c r="G124" s="132" t="n">
        <v>4208</v>
      </c>
      <c r="H124" s="132" t="n">
        <v>2674</v>
      </c>
      <c r="I124" s="132" t="n">
        <v>1534</v>
      </c>
      <c r="J124" s="133" t="n">
        <v>1402.77</v>
      </c>
      <c r="K124" s="133" t="n">
        <v>1407.63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台積電(2330)</t>
        </is>
      </c>
      <c r="E125" s="132" t="n">
        <v>16</v>
      </c>
      <c r="F125" s="132" t="n">
        <v>7</v>
      </c>
      <c r="G125" s="132" t="n">
        <v>3788</v>
      </c>
      <c r="H125" s="132" t="n">
        <v>1607</v>
      </c>
      <c r="I125" s="132" t="n">
        <v>2181</v>
      </c>
      <c r="J125" s="133" t="n">
        <v>2367.25</v>
      </c>
      <c r="K125" s="133" t="n">
        <v>2295.29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南亞(1303)</t>
        </is>
      </c>
      <c r="E126" s="132" t="n">
        <v>101</v>
      </c>
      <c r="F126" s="132" t="n">
        <v>81</v>
      </c>
      <c r="G126" s="132" t="n">
        <v>3027</v>
      </c>
      <c r="H126" s="132" t="n">
        <v>2449</v>
      </c>
      <c r="I126" s="132" t="n">
        <v>578</v>
      </c>
      <c r="J126" s="133" t="n">
        <v>299.7</v>
      </c>
      <c r="K126" s="133" t="n">
        <v>302.32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富喬(1815)</t>
        </is>
      </c>
      <c r="E127" s="132" t="n">
        <v>208</v>
      </c>
      <c r="F127" s="132" t="n">
        <v>124</v>
      </c>
      <c r="G127" s="132" t="n">
        <v>2986</v>
      </c>
      <c r="H127" s="132" t="n">
        <v>1806</v>
      </c>
      <c r="I127" s="132" t="n">
        <v>1180</v>
      </c>
      <c r="J127" s="133" t="n">
        <v>143.56</v>
      </c>
      <c r="K127" s="133" t="n">
        <v>145.68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昇達科(3491)</t>
        </is>
      </c>
      <c r="E128" s="132" t="n">
        <v>22</v>
      </c>
      <c r="F128" s="132" t="n">
        <v>12</v>
      </c>
      <c r="G128" s="132" t="n">
        <v>2841</v>
      </c>
      <c r="H128" s="132" t="n">
        <v>1543</v>
      </c>
      <c r="I128" s="132" t="n">
        <v>1298</v>
      </c>
      <c r="J128" s="133" t="n">
        <v>1291.45</v>
      </c>
      <c r="K128" s="133" t="n">
        <v>1285.83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華新科(2492)</t>
        </is>
      </c>
      <c r="E129" s="132" t="n">
        <v>69</v>
      </c>
      <c r="F129" s="132" t="n">
        <v>51</v>
      </c>
      <c r="G129" s="132" t="n">
        <v>2529</v>
      </c>
      <c r="H129" s="132" t="n">
        <v>1869</v>
      </c>
      <c r="I129" s="132" t="n">
        <v>660</v>
      </c>
      <c r="J129" s="133" t="n">
        <v>366.54</v>
      </c>
      <c r="K129" s="133" t="n">
        <v>366.51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國巨*(2327)</t>
        </is>
      </c>
      <c r="E130" s="132" t="n">
        <v>43</v>
      </c>
      <c r="F130" s="132" t="n">
        <v>13</v>
      </c>
      <c r="G130" s="132" t="n">
        <v>2230</v>
      </c>
      <c r="H130" s="132" t="n">
        <v>680</v>
      </c>
      <c r="I130" s="132" t="n">
        <v>1550</v>
      </c>
      <c r="J130" s="133" t="n">
        <v>518.72</v>
      </c>
      <c r="K130" s="133" t="n">
        <v>523.38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友達(2409)</t>
        </is>
      </c>
      <c r="E131" s="132" t="n">
        <v>486</v>
      </c>
      <c r="F131" s="132" t="n">
        <v>224</v>
      </c>
      <c r="G131" s="132" t="n">
        <v>1778</v>
      </c>
      <c r="H131" s="132" t="n">
        <v>828</v>
      </c>
      <c r="I131" s="132" t="n">
        <v>950</v>
      </c>
      <c r="J131" s="133" t="n">
        <v>36.57</v>
      </c>
      <c r="K131" s="133" t="n">
        <v>36.98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聯發科(2454)</t>
        </is>
      </c>
      <c r="E132" s="132" t="n">
        <v>4</v>
      </c>
      <c r="F132" s="132" t="n">
        <v>2</v>
      </c>
      <c r="G132" s="132" t="n">
        <v>1743</v>
      </c>
      <c r="H132" s="132" t="n">
        <v>739</v>
      </c>
      <c r="I132" s="132" t="n">
        <v>1004</v>
      </c>
      <c r="J132" s="133" t="n">
        <v>4357.25</v>
      </c>
      <c r="K132" s="133" t="n">
        <v>3695.5</v>
      </c>
      <c r="L132" s="233">
        <f>F132*(K132-J132)</f>
        <v/>
      </c>
    </row>
    <row r="133" ht="16.5" customHeight="1">
      <c r="A133" s="135" t="n"/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A134" s="134" t="n"/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374</v>
      </c>
      <c r="F134" s="132" t="n">
        <v>26</v>
      </c>
      <c r="G134" s="132" t="n">
        <v>89253</v>
      </c>
      <c r="H134" s="132" t="n">
        <v>6106</v>
      </c>
      <c r="I134" s="132" t="n">
        <v>83147</v>
      </c>
      <c r="J134" s="133" t="n">
        <v>2386.44</v>
      </c>
      <c r="K134" s="133" t="n">
        <v>2348.65</v>
      </c>
      <c r="L134" s="233">
        <f>F134*(K134-J134)</f>
        <v/>
      </c>
    </row>
    <row r="135" ht="16.5" customHeight="1">
      <c r="A135" s="134" t="n"/>
      <c r="B135" s="134" t="n"/>
      <c r="C135" s="134" t="n"/>
      <c r="D135" s="131" t="inlineStr">
        <is>
          <t>聯茂(6213)</t>
        </is>
      </c>
      <c r="E135" s="132" t="n">
        <v>917</v>
      </c>
      <c r="F135" s="132" t="n">
        <v>416</v>
      </c>
      <c r="G135" s="132" t="n">
        <v>73539</v>
      </c>
      <c r="H135" s="132" t="n">
        <v>34665</v>
      </c>
      <c r="I135" s="132" t="n">
        <v>38874</v>
      </c>
      <c r="J135" s="133" t="n">
        <v>801.95</v>
      </c>
      <c r="K135" s="133" t="n">
        <v>833.29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台燿(6274)</t>
        </is>
      </c>
      <c r="E136" s="132" t="n">
        <v>455</v>
      </c>
      <c r="F136" s="132" t="n">
        <v>405</v>
      </c>
      <c r="G136" s="132" t="n">
        <v>64583</v>
      </c>
      <c r="H136" s="132" t="n">
        <v>57524</v>
      </c>
      <c r="I136" s="132" t="n">
        <v>7059</v>
      </c>
      <c r="J136" s="133" t="n">
        <v>1419.4</v>
      </c>
      <c r="K136" s="133" t="n">
        <v>1420.36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日月光投控(3711)</t>
        </is>
      </c>
      <c r="E137" s="132" t="n">
        <v>831</v>
      </c>
      <c r="F137" s="132" t="n">
        <v>469</v>
      </c>
      <c r="G137" s="132" t="n">
        <v>54358</v>
      </c>
      <c r="H137" s="132" t="n">
        <v>30690</v>
      </c>
      <c r="I137" s="132" t="n">
        <v>23668</v>
      </c>
      <c r="J137" s="133" t="n">
        <v>654.13</v>
      </c>
      <c r="K137" s="133" t="n">
        <v>654.36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天品(6199)</t>
        </is>
      </c>
      <c r="E138" s="132" t="n">
        <v>2627</v>
      </c>
      <c r="F138" s="132" t="n">
        <v>2060</v>
      </c>
      <c r="G138" s="132" t="n">
        <v>39090</v>
      </c>
      <c r="H138" s="132" t="n">
        <v>30663</v>
      </c>
      <c r="I138" s="132" t="n">
        <v>8427</v>
      </c>
      <c r="J138" s="133" t="n">
        <v>148.8</v>
      </c>
      <c r="K138" s="133" t="n">
        <v>148.85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鴻勁(7769)</t>
        </is>
      </c>
      <c r="E139" s="132" t="n">
        <v>67</v>
      </c>
      <c r="F139" s="132" t="n">
        <v>4</v>
      </c>
      <c r="G139" s="132" t="n">
        <v>35326</v>
      </c>
      <c r="H139" s="132" t="n">
        <v>2134</v>
      </c>
      <c r="I139" s="132" t="n">
        <v>33192</v>
      </c>
      <c r="J139" s="133" t="n">
        <v>5272.54</v>
      </c>
      <c r="K139" s="133" t="n">
        <v>5334.5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景碩(3189)</t>
        </is>
      </c>
      <c r="E140" s="132" t="n">
        <v>351</v>
      </c>
      <c r="F140" s="132" t="n">
        <v>110</v>
      </c>
      <c r="G140" s="132" t="n">
        <v>34633</v>
      </c>
      <c r="H140" s="132" t="n">
        <v>10862</v>
      </c>
      <c r="I140" s="132" t="n">
        <v>23771</v>
      </c>
      <c r="J140" s="133" t="n">
        <v>986.7</v>
      </c>
      <c r="K140" s="133" t="n">
        <v>987.48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台玻(1802)</t>
        </is>
      </c>
      <c r="E141" s="132" t="n">
        <v>4296</v>
      </c>
      <c r="F141" s="132" t="n">
        <v>3125</v>
      </c>
      <c r="G141" s="132" t="n">
        <v>30557</v>
      </c>
      <c r="H141" s="132" t="n">
        <v>21390</v>
      </c>
      <c r="I141" s="132" t="n">
        <v>9167</v>
      </c>
      <c r="J141" s="133" t="n">
        <v>71.13</v>
      </c>
      <c r="K141" s="133" t="n">
        <v>68.45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創意(3443)</t>
        </is>
      </c>
      <c r="E142" s="132" t="n">
        <v>34</v>
      </c>
      <c r="F142" s="132" t="n">
        <v>7</v>
      </c>
      <c r="G142" s="132" t="n">
        <v>25788</v>
      </c>
      <c r="H142" s="132" t="n">
        <v>5257</v>
      </c>
      <c r="I142" s="132" t="n">
        <v>20531</v>
      </c>
      <c r="J142" s="133" t="n">
        <v>7584.62</v>
      </c>
      <c r="K142" s="133" t="n">
        <v>7510.57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大立光(3008)</t>
        </is>
      </c>
      <c r="E143" s="132" t="n">
        <v>39</v>
      </c>
      <c r="F143" s="132" t="n">
        <v>12</v>
      </c>
      <c r="G143" s="132" t="n">
        <v>23865</v>
      </c>
      <c r="H143" s="132" t="n">
        <v>7435</v>
      </c>
      <c r="I143" s="132" t="n">
        <v>16430</v>
      </c>
      <c r="J143" s="133" t="n">
        <v>6119.33</v>
      </c>
      <c r="K143" s="133" t="n">
        <v>6196.17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台光電(2383)</t>
        </is>
      </c>
      <c r="E145" s="139" t="n">
        <v>105</v>
      </c>
      <c r="F145" s="139" t="n">
        <v>9</v>
      </c>
      <c r="G145" s="139" t="n">
        <v>53167</v>
      </c>
      <c r="H145" s="139" t="n">
        <v>4562</v>
      </c>
      <c r="I145" s="139" t="n">
        <v>48605</v>
      </c>
      <c r="J145" s="140" t="n">
        <v>5063.55</v>
      </c>
      <c r="K145" s="140" t="n">
        <v>5069.44</v>
      </c>
      <c r="L145" s="232">
        <f>F145*(K145-J145)</f>
        <v/>
      </c>
    </row>
    <row r="146" ht="16.5" customHeight="1">
      <c r="A146" s="141" t="n"/>
      <c r="B146" s="141" t="n"/>
      <c r="C146" s="141" t="n"/>
      <c r="D146" s="138" t="inlineStr">
        <is>
          <t>台積電(2330)</t>
        </is>
      </c>
      <c r="E146" s="139" t="n">
        <v>202</v>
      </c>
      <c r="F146" s="139" t="n">
        <v>2</v>
      </c>
      <c r="G146" s="139" t="n">
        <v>48244</v>
      </c>
      <c r="H146" s="139" t="n">
        <v>506</v>
      </c>
      <c r="I146" s="139" t="n">
        <v>47738</v>
      </c>
      <c r="J146" s="140" t="n">
        <v>2388.34</v>
      </c>
      <c r="K146" s="140" t="n">
        <v>2530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鴻勁(7769)</t>
        </is>
      </c>
      <c r="E147" s="139" t="n">
        <v>81</v>
      </c>
      <c r="F147" s="139" t="n">
        <v>5</v>
      </c>
      <c r="G147" s="139" t="n">
        <v>42540</v>
      </c>
      <c r="H147" s="139" t="n">
        <v>2744</v>
      </c>
      <c r="I147" s="139" t="n">
        <v>39796</v>
      </c>
      <c r="J147" s="140" t="n">
        <v>5251.83</v>
      </c>
      <c r="K147" s="140" t="n">
        <v>5488.6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玉晶光(3406)</t>
        </is>
      </c>
      <c r="E148" s="139" t="n">
        <v>287</v>
      </c>
      <c r="F148" s="139" t="n">
        <v>22</v>
      </c>
      <c r="G148" s="139" t="n">
        <v>33556</v>
      </c>
      <c r="H148" s="139" t="n">
        <v>2566</v>
      </c>
      <c r="I148" s="139" t="n">
        <v>30990</v>
      </c>
      <c r="J148" s="140" t="n">
        <v>1169.21</v>
      </c>
      <c r="K148" s="140" t="n">
        <v>1166.59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日月光投控(3711)</t>
        </is>
      </c>
      <c r="E149" s="139" t="n">
        <v>463</v>
      </c>
      <c r="F149" s="139" t="n">
        <v>3</v>
      </c>
      <c r="G149" s="139" t="n">
        <v>31004</v>
      </c>
      <c r="H149" s="139" t="n">
        <v>202</v>
      </c>
      <c r="I149" s="139" t="n">
        <v>30802</v>
      </c>
      <c r="J149" s="140" t="n">
        <v>669.62</v>
      </c>
      <c r="K149" s="140" t="n">
        <v>675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智邦(2345)</t>
        </is>
      </c>
      <c r="E150" s="139" t="n">
        <v>140</v>
      </c>
      <c r="F150" s="139" t="n">
        <v>1</v>
      </c>
      <c r="G150" s="139" t="n">
        <v>24816</v>
      </c>
      <c r="H150" s="139" t="n">
        <v>65</v>
      </c>
      <c r="I150" s="139" t="n">
        <v>24751</v>
      </c>
      <c r="J150" s="140" t="n">
        <v>1772.58</v>
      </c>
      <c r="K150" s="140" t="n">
        <v>654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聯發科(2454)</t>
        </is>
      </c>
      <c r="E151" s="139" t="n">
        <v>59</v>
      </c>
      <c r="F151" s="139" t="n">
        <v>27</v>
      </c>
      <c r="G151" s="139" t="n">
        <v>23557</v>
      </c>
      <c r="H151" s="139" t="n">
        <v>10673</v>
      </c>
      <c r="I151" s="139" t="n">
        <v>12884</v>
      </c>
      <c r="J151" s="140" t="n">
        <v>3992.75</v>
      </c>
      <c r="K151" s="140" t="n">
        <v>3953.07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健策(3653)</t>
        </is>
      </c>
      <c r="E152" s="139" t="n">
        <v>35</v>
      </c>
      <c r="F152" s="139" t="n">
        <v>9</v>
      </c>
      <c r="G152" s="139" t="n">
        <v>21437</v>
      </c>
      <c r="H152" s="139" t="n">
        <v>5168</v>
      </c>
      <c r="I152" s="139" t="n">
        <v>16269</v>
      </c>
      <c r="J152" s="140" t="n">
        <v>6124.97</v>
      </c>
      <c r="K152" s="140" t="n">
        <v>5742.44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大立光(3008)</t>
        </is>
      </c>
      <c r="E153" s="139" t="n">
        <v>33</v>
      </c>
      <c r="F153" s="139" t="n">
        <v>16</v>
      </c>
      <c r="G153" s="139" t="n">
        <v>20522</v>
      </c>
      <c r="H153" s="139" t="n">
        <v>9956</v>
      </c>
      <c r="I153" s="139" t="n">
        <v>10566</v>
      </c>
      <c r="J153" s="140" t="n">
        <v>6218.76</v>
      </c>
      <c r="K153" s="140" t="n">
        <v>6222.56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富世達(6805)</t>
        </is>
      </c>
      <c r="E154" s="139" t="n">
        <v>62</v>
      </c>
      <c r="F154" s="139" t="n">
        <v>2</v>
      </c>
      <c r="G154" s="139" t="n">
        <v>14411</v>
      </c>
      <c r="H154" s="139" t="n">
        <v>471</v>
      </c>
      <c r="I154" s="139" t="n">
        <v>13940</v>
      </c>
      <c r="J154" s="140" t="n">
        <v>2324.42</v>
      </c>
      <c r="K154" s="140" t="n">
        <v>2355</v>
      </c>
      <c r="L154" s="232">
        <f>F154*(K154-J154)</f>
        <v/>
      </c>
    </row>
    <row r="155" ht="16.5" customHeight="1">
      <c r="A155" s="142" t="n"/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A156" s="141" t="n"/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151</v>
      </c>
      <c r="F156" s="139" t="n">
        <v>52</v>
      </c>
      <c r="G156" s="139" t="n">
        <v>36324</v>
      </c>
      <c r="H156" s="139" t="n">
        <v>12384</v>
      </c>
      <c r="I156" s="139" t="n">
        <v>23940</v>
      </c>
      <c r="J156" s="140" t="n">
        <v>2405.56</v>
      </c>
      <c r="K156" s="140" t="n">
        <v>2381.54</v>
      </c>
      <c r="L156" s="233">
        <f>F156*(K156-J156)</f>
        <v/>
      </c>
    </row>
    <row r="157" ht="16.5" customHeight="1">
      <c r="A157" s="141" t="n"/>
      <c r="B157" s="141" t="n"/>
      <c r="C157" s="141" t="n"/>
      <c r="D157" s="138" t="inlineStr">
        <is>
          <t>鴻勁(7769)</t>
        </is>
      </c>
      <c r="E157" s="139" t="n">
        <v>57</v>
      </c>
      <c r="F157" s="139" t="n">
        <v>1</v>
      </c>
      <c r="G157" s="139" t="n">
        <v>29999</v>
      </c>
      <c r="H157" s="139" t="n">
        <v>621</v>
      </c>
      <c r="I157" s="139" t="n">
        <v>29378</v>
      </c>
      <c r="J157" s="140" t="n">
        <v>5263</v>
      </c>
      <c r="K157" s="140" t="n">
        <v>6213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台玻(1802)</t>
        </is>
      </c>
      <c r="E158" s="139" t="n">
        <v>3050</v>
      </c>
      <c r="F158" s="139" t="n">
        <v>427</v>
      </c>
      <c r="G158" s="139" t="n">
        <v>21737</v>
      </c>
      <c r="H158" s="139" t="n">
        <v>3008</v>
      </c>
      <c r="I158" s="139" t="n">
        <v>18729</v>
      </c>
      <c r="J158" s="140" t="n">
        <v>71.27</v>
      </c>
      <c r="K158" s="140" t="n">
        <v>70.44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德宏(5475)</t>
        </is>
      </c>
      <c r="E159" s="139" t="n">
        <v>845</v>
      </c>
      <c r="F159" s="139" t="n">
        <v>25</v>
      </c>
      <c r="G159" s="139" t="n">
        <v>18481</v>
      </c>
      <c r="H159" s="139" t="n">
        <v>532</v>
      </c>
      <c r="I159" s="139" t="n">
        <v>17949</v>
      </c>
      <c r="J159" s="140" t="n">
        <v>218.71</v>
      </c>
      <c r="K159" s="140" t="n">
        <v>212.6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川湖(2059)</t>
        </is>
      </c>
      <c r="E160" s="139" t="n">
        <v>12</v>
      </c>
      <c r="F160" s="139" t="n">
        <v>2</v>
      </c>
      <c r="G160" s="139" t="n">
        <v>12167</v>
      </c>
      <c r="H160" s="139" t="n">
        <v>2009</v>
      </c>
      <c r="I160" s="139" t="n">
        <v>10158</v>
      </c>
      <c r="J160" s="140" t="n">
        <v>10138.83</v>
      </c>
      <c r="K160" s="140" t="n">
        <v>10045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聯發科(2454)</t>
        </is>
      </c>
      <c r="E161" s="139" t="n">
        <v>23</v>
      </c>
      <c r="F161" s="139" t="n">
        <v>12</v>
      </c>
      <c r="G161" s="139" t="n">
        <v>9252</v>
      </c>
      <c r="H161" s="139" t="n">
        <v>4908</v>
      </c>
      <c r="I161" s="139" t="n">
        <v>4344</v>
      </c>
      <c r="J161" s="140" t="n">
        <v>4022.57</v>
      </c>
      <c r="K161" s="140" t="n">
        <v>4089.83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聯茂(6213)</t>
        </is>
      </c>
      <c r="E162" s="139" t="n">
        <v>105</v>
      </c>
      <c r="F162" s="139" t="n">
        <v>54</v>
      </c>
      <c r="G162" s="139" t="n">
        <v>8190</v>
      </c>
      <c r="H162" s="139" t="n">
        <v>4189</v>
      </c>
      <c r="I162" s="139" t="n">
        <v>4001</v>
      </c>
      <c r="J162" s="140" t="n">
        <v>779.96</v>
      </c>
      <c r="K162" s="140" t="n">
        <v>775.6900000000001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信昌電(6173)</t>
        </is>
      </c>
      <c r="E163" s="139" t="n">
        <v>181</v>
      </c>
      <c r="F163" s="139" t="n">
        <v>21</v>
      </c>
      <c r="G163" s="139" t="n">
        <v>5635</v>
      </c>
      <c r="H163" s="139" t="n">
        <v>635</v>
      </c>
      <c r="I163" s="139" t="n">
        <v>5000</v>
      </c>
      <c r="J163" s="140" t="n">
        <v>311.33</v>
      </c>
      <c r="K163" s="140" t="n">
        <v>302.33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南電(8046)</t>
        </is>
      </c>
      <c r="E164" s="139" t="n">
        <v>43</v>
      </c>
      <c r="F164" s="139" t="n">
        <v>36</v>
      </c>
      <c r="G164" s="139" t="n">
        <v>5490</v>
      </c>
      <c r="H164" s="139" t="n">
        <v>4530</v>
      </c>
      <c r="I164" s="139" t="n">
        <v>960</v>
      </c>
      <c r="J164" s="140" t="n">
        <v>1276.7</v>
      </c>
      <c r="K164" s="140" t="n">
        <v>1258.19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萬潤(6187)</t>
        </is>
      </c>
      <c r="E165" s="139" t="n">
        <v>40</v>
      </c>
      <c r="F165" s="139" t="n">
        <v>15</v>
      </c>
      <c r="G165" s="139" t="n">
        <v>5009</v>
      </c>
      <c r="H165" s="139" t="n">
        <v>1845</v>
      </c>
      <c r="I165" s="139" t="n">
        <v>3164</v>
      </c>
      <c r="J165" s="140" t="n">
        <v>1252.33</v>
      </c>
      <c r="K165" s="140" t="n">
        <v>1230</v>
      </c>
      <c r="L165" s="233">
        <f>F165*(K165-J165)</f>
        <v/>
      </c>
    </row>
    <row r="166" ht="16.5" customHeight="1">
      <c r="A166" s="142" t="n"/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A167" s="141" t="n"/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臻鼎-KY(4958)</t>
        </is>
      </c>
      <c r="E167" s="139" t="n">
        <v>197</v>
      </c>
      <c r="F167" s="139" t="n">
        <v>18</v>
      </c>
      <c r="G167" s="139" t="n">
        <v>11428</v>
      </c>
      <c r="H167" s="139" t="n">
        <v>1072</v>
      </c>
      <c r="I167" s="139" t="n">
        <v>10356</v>
      </c>
      <c r="J167" s="140" t="n">
        <v>580.11</v>
      </c>
      <c r="K167" s="140" t="n">
        <v>595.78</v>
      </c>
      <c r="L167" s="232">
        <f>F167*(K167-J167)</f>
        <v/>
      </c>
    </row>
    <row r="168" ht="16.5" customHeight="1">
      <c r="A168" s="141" t="n"/>
      <c r="B168" s="141" t="n"/>
      <c r="C168" s="141" t="n"/>
      <c r="D168" s="138" t="inlineStr">
        <is>
          <t>健策(3653)</t>
        </is>
      </c>
      <c r="E168" s="139" t="n">
        <v>16</v>
      </c>
      <c r="F168" s="139" t="n">
        <v>10</v>
      </c>
      <c r="G168" s="139" t="n">
        <v>9458</v>
      </c>
      <c r="H168" s="139" t="n">
        <v>6186</v>
      </c>
      <c r="I168" s="139" t="n">
        <v>3272</v>
      </c>
      <c r="J168" s="140" t="n">
        <v>5911.44</v>
      </c>
      <c r="K168" s="140" t="n">
        <v>6186.5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川湖(2059)</t>
        </is>
      </c>
      <c r="E169" s="139" t="n">
        <v>5</v>
      </c>
      <c r="F169" s="139" t="n">
        <v>0</v>
      </c>
      <c r="G169" s="139" t="n">
        <v>4940</v>
      </c>
      <c r="H169" s="139" t="n">
        <v>0</v>
      </c>
      <c r="I169" s="139" t="n">
        <v>4940</v>
      </c>
      <c r="J169" s="140" t="n">
        <v>9880</v>
      </c>
      <c r="K169" s="140" t="n">
        <v>0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揚博(2493)</t>
        </is>
      </c>
      <c r="E170" s="139" t="n">
        <v>240</v>
      </c>
      <c r="F170" s="139" t="n">
        <v>0</v>
      </c>
      <c r="G170" s="139" t="n">
        <v>4739</v>
      </c>
      <c r="H170" s="139" t="n">
        <v>0</v>
      </c>
      <c r="I170" s="139" t="n">
        <v>4739</v>
      </c>
      <c r="J170" s="140" t="n">
        <v>197.45</v>
      </c>
      <c r="K170" s="140" t="n">
        <v>0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大聯大(3702)</t>
        </is>
      </c>
      <c r="E171" s="139" t="n">
        <v>400</v>
      </c>
      <c r="F171" s="139" t="n">
        <v>0</v>
      </c>
      <c r="G171" s="139" t="n">
        <v>4580</v>
      </c>
      <c r="H171" s="139" t="n">
        <v>0</v>
      </c>
      <c r="I171" s="139" t="n">
        <v>4580</v>
      </c>
      <c r="J171" s="140" t="n">
        <v>114.5</v>
      </c>
      <c r="K171" s="140" t="n">
        <v>0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愛普*(6531)</t>
        </is>
      </c>
      <c r="E172" s="139" t="n">
        <v>33</v>
      </c>
      <c r="F172" s="139" t="n">
        <v>23</v>
      </c>
      <c r="G172" s="139" t="n">
        <v>2626</v>
      </c>
      <c r="H172" s="139" t="n">
        <v>1834</v>
      </c>
      <c r="I172" s="139" t="n">
        <v>792</v>
      </c>
      <c r="J172" s="140" t="n">
        <v>795.88</v>
      </c>
      <c r="K172" s="140" t="n">
        <v>797.61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漢達(6620)</t>
        </is>
      </c>
      <c r="E173" s="139" t="n">
        <v>150</v>
      </c>
      <c r="F173" s="139" t="n">
        <v>3</v>
      </c>
      <c r="G173" s="139" t="n">
        <v>2181</v>
      </c>
      <c r="H173" s="139" t="n">
        <v>42</v>
      </c>
      <c r="I173" s="139" t="n">
        <v>2139</v>
      </c>
      <c r="J173" s="140" t="n">
        <v>145.39</v>
      </c>
      <c r="K173" s="140" t="n">
        <v>141.67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旺矽(6223)</t>
        </is>
      </c>
      <c r="E174" s="139" t="n">
        <v>4</v>
      </c>
      <c r="F174" s="139" t="n">
        <v>1</v>
      </c>
      <c r="G174" s="139" t="n">
        <v>2049</v>
      </c>
      <c r="H174" s="139" t="n">
        <v>551</v>
      </c>
      <c r="I174" s="139" t="n">
        <v>1498</v>
      </c>
      <c r="J174" s="140" t="n">
        <v>5122.25</v>
      </c>
      <c r="K174" s="140" t="n">
        <v>5507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穩懋(3105)</t>
        </is>
      </c>
      <c r="E175" s="139" t="n">
        <v>34</v>
      </c>
      <c r="F175" s="139" t="n">
        <v>19</v>
      </c>
      <c r="G175" s="139" t="n">
        <v>1727</v>
      </c>
      <c r="H175" s="139" t="n">
        <v>951</v>
      </c>
      <c r="I175" s="139" t="n">
        <v>776</v>
      </c>
      <c r="J175" s="140" t="n">
        <v>507.85</v>
      </c>
      <c r="K175" s="140" t="n">
        <v>500.68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鴻勁(7769)</t>
        </is>
      </c>
      <c r="E176" s="139" t="n">
        <v>3</v>
      </c>
      <c r="F176" s="139" t="n">
        <v>0</v>
      </c>
      <c r="G176" s="139" t="n">
        <v>1612</v>
      </c>
      <c r="H176" s="139" t="n">
        <v>0</v>
      </c>
      <c r="I176" s="139" t="n">
        <v>1612</v>
      </c>
      <c r="J176" s="140" t="n">
        <v>5372.67</v>
      </c>
      <c r="K176" s="140" t="n">
        <v>0</v>
      </c>
      <c r="L176" s="232">
        <f>F176*(K176-J176)</f>
        <v/>
      </c>
    </row>
    <row r="177" ht="16.5" customHeight="1">
      <c r="A177" s="142" t="n"/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A178" s="141" t="n"/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44</v>
      </c>
      <c r="F178" s="139" t="n">
        <v>4</v>
      </c>
      <c r="G178" s="139" t="n">
        <v>10382</v>
      </c>
      <c r="H178" s="139" t="n">
        <v>1050</v>
      </c>
      <c r="I178" s="139" t="n">
        <v>9332</v>
      </c>
      <c r="J178" s="140" t="n">
        <v>2359.57</v>
      </c>
      <c r="K178" s="140" t="n">
        <v>2624.25</v>
      </c>
      <c r="L178" s="232">
        <f>F178*(K178-J178)</f>
        <v/>
      </c>
    </row>
    <row r="179" ht="16.5" customHeight="1">
      <c r="A179" s="141" t="n"/>
      <c r="B179" s="141" t="n"/>
      <c r="C179" s="141" t="n"/>
      <c r="D179" s="138" t="inlineStr">
        <is>
          <t>萬海(2615)</t>
        </is>
      </c>
      <c r="E179" s="139" t="n">
        <v>797</v>
      </c>
      <c r="F179" s="139" t="n">
        <v>3</v>
      </c>
      <c r="G179" s="139" t="n">
        <v>9553</v>
      </c>
      <c r="H179" s="139" t="n">
        <v>36</v>
      </c>
      <c r="I179" s="139" t="n">
        <v>9517</v>
      </c>
      <c r="J179" s="140" t="n">
        <v>119.86</v>
      </c>
      <c r="K179" s="140" t="n">
        <v>120.67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景碩(3189)</t>
        </is>
      </c>
      <c r="E180" s="139" t="n">
        <v>90</v>
      </c>
      <c r="F180" s="139" t="n">
        <v>22</v>
      </c>
      <c r="G180" s="139" t="n">
        <v>8882</v>
      </c>
      <c r="H180" s="139" t="n">
        <v>2201</v>
      </c>
      <c r="I180" s="139" t="n">
        <v>6681</v>
      </c>
      <c r="J180" s="140" t="n">
        <v>986.84</v>
      </c>
      <c r="K180" s="140" t="n">
        <v>1000.32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南亞(1303)</t>
        </is>
      </c>
      <c r="E181" s="139" t="n">
        <v>212</v>
      </c>
      <c r="F181" s="139" t="n">
        <v>57</v>
      </c>
      <c r="G181" s="139" t="n">
        <v>6626</v>
      </c>
      <c r="H181" s="139" t="n">
        <v>1753</v>
      </c>
      <c r="I181" s="139" t="n">
        <v>4873</v>
      </c>
      <c r="J181" s="140" t="n">
        <v>312.56</v>
      </c>
      <c r="K181" s="140" t="n">
        <v>307.51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國巨*(2327)</t>
        </is>
      </c>
      <c r="E182" s="139" t="n">
        <v>104</v>
      </c>
      <c r="F182" s="139" t="n">
        <v>17</v>
      </c>
      <c r="G182" s="139" t="n">
        <v>5411</v>
      </c>
      <c r="H182" s="139" t="n">
        <v>912</v>
      </c>
      <c r="I182" s="139" t="n">
        <v>4499</v>
      </c>
      <c r="J182" s="140" t="n">
        <v>520.3200000000001</v>
      </c>
      <c r="K182" s="140" t="n">
        <v>536.76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聯茂(6213)</t>
        </is>
      </c>
      <c r="E183" s="139" t="n">
        <v>66</v>
      </c>
      <c r="F183" s="139" t="n">
        <v>42</v>
      </c>
      <c r="G183" s="139" t="n">
        <v>5152</v>
      </c>
      <c r="H183" s="139" t="n">
        <v>3238</v>
      </c>
      <c r="I183" s="139" t="n">
        <v>1914</v>
      </c>
      <c r="J183" s="140" t="n">
        <v>780.5599999999999</v>
      </c>
      <c r="K183" s="140" t="n">
        <v>770.86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台燿(6274)</t>
        </is>
      </c>
      <c r="E184" s="139" t="n">
        <v>32</v>
      </c>
      <c r="F184" s="139" t="n">
        <v>21</v>
      </c>
      <c r="G184" s="139" t="n">
        <v>4570</v>
      </c>
      <c r="H184" s="139" t="n">
        <v>2935</v>
      </c>
      <c r="I184" s="139" t="n">
        <v>1635</v>
      </c>
      <c r="J184" s="140" t="n">
        <v>1428.09</v>
      </c>
      <c r="K184" s="140" t="n">
        <v>1397.81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台達電(2308)</t>
        </is>
      </c>
      <c r="E185" s="139" t="n">
        <v>29</v>
      </c>
      <c r="F185" s="139" t="n">
        <v>1</v>
      </c>
      <c r="G185" s="139" t="n">
        <v>4516</v>
      </c>
      <c r="H185" s="139" t="n">
        <v>228</v>
      </c>
      <c r="I185" s="139" t="n">
        <v>4288</v>
      </c>
      <c r="J185" s="140" t="n">
        <v>1557.38</v>
      </c>
      <c r="K185" s="140" t="n">
        <v>2280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富喬(1815)</t>
        </is>
      </c>
      <c r="E186" s="139" t="n">
        <v>233</v>
      </c>
      <c r="F186" s="139" t="n">
        <v>184</v>
      </c>
      <c r="G186" s="139" t="n">
        <v>3242</v>
      </c>
      <c r="H186" s="139" t="n">
        <v>2563</v>
      </c>
      <c r="I186" s="139" t="n">
        <v>679</v>
      </c>
      <c r="J186" s="140" t="n">
        <v>139.15</v>
      </c>
      <c r="K186" s="140" t="n">
        <v>139.3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聯發科(2454)</t>
        </is>
      </c>
      <c r="E187" s="139" t="n">
        <v>7</v>
      </c>
      <c r="F187" s="139" t="n">
        <v>3</v>
      </c>
      <c r="G187" s="139" t="n">
        <v>2855</v>
      </c>
      <c r="H187" s="139" t="n">
        <v>1048</v>
      </c>
      <c r="I187" s="139" t="n">
        <v>1807</v>
      </c>
      <c r="J187" s="140" t="n">
        <v>4078.57</v>
      </c>
      <c r="K187" s="140" t="n">
        <v>3492</v>
      </c>
      <c r="L187" s="233">
        <f>F187*(K187-J187)</f>
        <v/>
      </c>
    </row>
    <row r="188" ht="16.5" customHeight="1">
      <c r="A188" s="142" t="n"/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A189" s="141" t="n"/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南亞(1303)</t>
        </is>
      </c>
      <c r="E189" s="139" t="n">
        <v>330</v>
      </c>
      <c r="F189" s="139" t="n">
        <v>41</v>
      </c>
      <c r="G189" s="139" t="n">
        <v>10098</v>
      </c>
      <c r="H189" s="139" t="n">
        <v>1280</v>
      </c>
      <c r="I189" s="139" t="n">
        <v>8818</v>
      </c>
      <c r="J189" s="140" t="n">
        <v>306.01</v>
      </c>
      <c r="K189" s="140" t="n">
        <v>312.2</v>
      </c>
      <c r="L189" s="232">
        <f>F189*(K189-J189)</f>
        <v/>
      </c>
    </row>
    <row r="190" ht="16.5" customHeight="1">
      <c r="A190" s="141" t="n"/>
      <c r="B190" s="141" t="n"/>
      <c r="C190" s="141" t="n"/>
      <c r="D190" s="138" t="inlineStr">
        <is>
          <t>金居(8358)</t>
        </is>
      </c>
      <c r="E190" s="139" t="n">
        <v>102</v>
      </c>
      <c r="F190" s="139" t="n">
        <v>37</v>
      </c>
      <c r="G190" s="139" t="n">
        <v>4601</v>
      </c>
      <c r="H190" s="139" t="n">
        <v>1678</v>
      </c>
      <c r="I190" s="139" t="n">
        <v>2923</v>
      </c>
      <c r="J190" s="140" t="n">
        <v>451.04</v>
      </c>
      <c r="K190" s="140" t="n">
        <v>453.54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聯發科(2454)</t>
        </is>
      </c>
      <c r="E191" s="139" t="n">
        <v>7</v>
      </c>
      <c r="F191" s="139" t="n">
        <v>4</v>
      </c>
      <c r="G191" s="139" t="n">
        <v>2788</v>
      </c>
      <c r="H191" s="139" t="n">
        <v>1769</v>
      </c>
      <c r="I191" s="139" t="n">
        <v>1019</v>
      </c>
      <c r="J191" s="140" t="n">
        <v>3983.14</v>
      </c>
      <c r="K191" s="140" t="n">
        <v>4423.25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精材(3374)</t>
        </is>
      </c>
      <c r="E192" s="139" t="n">
        <v>58</v>
      </c>
      <c r="F192" s="139" t="n">
        <v>33</v>
      </c>
      <c r="G192" s="139" t="n">
        <v>2672</v>
      </c>
      <c r="H192" s="139" t="n">
        <v>1521</v>
      </c>
      <c r="I192" s="139" t="n">
        <v>1151</v>
      </c>
      <c r="J192" s="140" t="n">
        <v>460.6</v>
      </c>
      <c r="K192" s="140" t="n">
        <v>460.88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禾伸堂(3026)</t>
        </is>
      </c>
      <c r="E193" s="139" t="n">
        <v>33</v>
      </c>
      <c r="F193" s="139" t="n">
        <v>12</v>
      </c>
      <c r="G193" s="139" t="n">
        <v>2494</v>
      </c>
      <c r="H193" s="139" t="n">
        <v>876</v>
      </c>
      <c r="I193" s="139" t="n">
        <v>1618</v>
      </c>
      <c r="J193" s="140" t="n">
        <v>755.76</v>
      </c>
      <c r="K193" s="140" t="n">
        <v>729.92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尖點(8021)</t>
        </is>
      </c>
      <c r="E194" s="139" t="n">
        <v>40</v>
      </c>
      <c r="F194" s="139" t="n">
        <v>3</v>
      </c>
      <c r="G194" s="139" t="n">
        <v>1938</v>
      </c>
      <c r="H194" s="139" t="n">
        <v>152</v>
      </c>
      <c r="I194" s="139" t="n">
        <v>1786</v>
      </c>
      <c r="J194" s="140" t="n">
        <v>484.4</v>
      </c>
      <c r="K194" s="140" t="n">
        <v>506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創意(3443)</t>
        </is>
      </c>
      <c r="E195" s="139" t="n">
        <v>2</v>
      </c>
      <c r="F195" s="139" t="n">
        <v>1</v>
      </c>
      <c r="G195" s="139" t="n">
        <v>1716</v>
      </c>
      <c r="H195" s="139" t="n">
        <v>844</v>
      </c>
      <c r="I195" s="139" t="n">
        <v>872</v>
      </c>
      <c r="J195" s="140" t="n">
        <v>8578</v>
      </c>
      <c r="K195" s="140" t="n">
        <v>8443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營邦(3693)</t>
        </is>
      </c>
      <c r="E196" s="139" t="n">
        <v>26</v>
      </c>
      <c r="F196" s="139" t="n">
        <v>1</v>
      </c>
      <c r="G196" s="139" t="n">
        <v>1661</v>
      </c>
      <c r="H196" s="139" t="n">
        <v>65</v>
      </c>
      <c r="I196" s="139" t="n">
        <v>1596</v>
      </c>
      <c r="J196" s="140" t="n">
        <v>638.92</v>
      </c>
      <c r="K196" s="140" t="n">
        <v>654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今國光(6209)</t>
        </is>
      </c>
      <c r="E197" s="139" t="n">
        <v>143</v>
      </c>
      <c r="F197" s="139" t="n">
        <v>3</v>
      </c>
      <c r="G197" s="139" t="n">
        <v>1584</v>
      </c>
      <c r="H197" s="139" t="n">
        <v>34</v>
      </c>
      <c r="I197" s="139" t="n">
        <v>1550</v>
      </c>
      <c r="J197" s="140" t="n">
        <v>110.77</v>
      </c>
      <c r="K197" s="140" t="n">
        <v>112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台達電(2308)</t>
        </is>
      </c>
      <c r="E198" s="139" t="n">
        <v>10</v>
      </c>
      <c r="F198" s="139" t="n">
        <v>1</v>
      </c>
      <c r="G198" s="139" t="n">
        <v>1516</v>
      </c>
      <c r="H198" s="139" t="n">
        <v>172</v>
      </c>
      <c r="I198" s="139" t="n">
        <v>1344</v>
      </c>
      <c r="J198" s="140" t="n">
        <v>1516.5</v>
      </c>
      <c r="K198" s="140" t="n">
        <v>1720</v>
      </c>
      <c r="L198" s="232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聯茂(6213)</t>
        </is>
      </c>
      <c r="E200" s="146" t="n">
        <v>44</v>
      </c>
      <c r="F200" s="146" t="n">
        <v>3</v>
      </c>
      <c r="G200" s="146" t="n">
        <v>3710</v>
      </c>
      <c r="H200" s="146" t="n">
        <v>251</v>
      </c>
      <c r="I200" s="146" t="n">
        <v>3459</v>
      </c>
      <c r="J200" s="147" t="n">
        <v>843.11</v>
      </c>
      <c r="K200" s="147" t="n">
        <v>835.33</v>
      </c>
      <c r="L200" s="233">
        <f>F200*(K200-J200)</f>
        <v/>
      </c>
    </row>
    <row r="201" ht="16.5" customHeight="1">
      <c r="A201" s="148" t="n"/>
      <c r="B201" s="148" t="n"/>
      <c r="C201" s="148" t="n"/>
      <c r="D201" s="145" t="inlineStr">
        <is>
          <t>金居(8358)</t>
        </is>
      </c>
      <c r="E201" s="146" t="n">
        <v>33</v>
      </c>
      <c r="F201" s="146" t="n">
        <v>23</v>
      </c>
      <c r="G201" s="146" t="n">
        <v>1459</v>
      </c>
      <c r="H201" s="146" t="n">
        <v>1008</v>
      </c>
      <c r="I201" s="146" t="n">
        <v>451</v>
      </c>
      <c r="J201" s="147" t="n">
        <v>442.03</v>
      </c>
      <c r="K201" s="147" t="n">
        <v>438.22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南亞(1303)</t>
        </is>
      </c>
      <c r="E202" s="146" t="n">
        <v>48</v>
      </c>
      <c r="F202" s="146" t="n">
        <v>38</v>
      </c>
      <c r="G202" s="146" t="n">
        <v>1431</v>
      </c>
      <c r="H202" s="146" t="n">
        <v>1146</v>
      </c>
      <c r="I202" s="146" t="n">
        <v>285</v>
      </c>
      <c r="J202" s="147" t="n">
        <v>298.1</v>
      </c>
      <c r="K202" s="147" t="n">
        <v>301.63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京元電子(2449)</t>
        </is>
      </c>
      <c r="E203" s="146" t="n">
        <v>45</v>
      </c>
      <c r="F203" s="146" t="n">
        <v>23</v>
      </c>
      <c r="G203" s="146" t="n">
        <v>1258</v>
      </c>
      <c r="H203" s="146" t="n">
        <v>638</v>
      </c>
      <c r="I203" s="146" t="n">
        <v>620</v>
      </c>
      <c r="J203" s="147" t="n">
        <v>279.56</v>
      </c>
      <c r="K203" s="147" t="n">
        <v>277.57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國巨*(2327)</t>
        </is>
      </c>
      <c r="E204" s="146" t="n">
        <v>22</v>
      </c>
      <c r="F204" s="146" t="n">
        <v>9</v>
      </c>
      <c r="G204" s="146" t="n">
        <v>1154</v>
      </c>
      <c r="H204" s="146" t="n">
        <v>461</v>
      </c>
      <c r="I204" s="146" t="n">
        <v>693</v>
      </c>
      <c r="J204" s="147" t="n">
        <v>524.36</v>
      </c>
      <c r="K204" s="147" t="n">
        <v>511.89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台達電(2308)</t>
        </is>
      </c>
      <c r="E205" s="146" t="n">
        <v>6</v>
      </c>
      <c r="F205" s="146" t="n">
        <v>1</v>
      </c>
      <c r="G205" s="146" t="n">
        <v>858</v>
      </c>
      <c r="H205" s="146" t="n">
        <v>162</v>
      </c>
      <c r="I205" s="146" t="n">
        <v>696</v>
      </c>
      <c r="J205" s="147" t="n">
        <v>1430.17</v>
      </c>
      <c r="K205" s="147" t="n">
        <v>1620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德宏(5475)</t>
        </is>
      </c>
      <c r="E206" s="146" t="n">
        <v>41</v>
      </c>
      <c r="F206" s="146" t="n">
        <v>33</v>
      </c>
      <c r="G206" s="146" t="n">
        <v>806</v>
      </c>
      <c r="H206" s="146" t="n">
        <v>652</v>
      </c>
      <c r="I206" s="146" t="n">
        <v>154</v>
      </c>
      <c r="J206" s="147" t="n">
        <v>196.61</v>
      </c>
      <c r="K206" s="147" t="n">
        <v>197.67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世芯-KY(3661)</t>
        </is>
      </c>
      <c r="E207" s="146" t="n">
        <v>2</v>
      </c>
      <c r="F207" s="146" t="n">
        <v>1</v>
      </c>
      <c r="G207" s="146" t="n">
        <v>736</v>
      </c>
      <c r="H207" s="146" t="n">
        <v>350</v>
      </c>
      <c r="I207" s="146" t="n">
        <v>386</v>
      </c>
      <c r="J207" s="147" t="n">
        <v>3678</v>
      </c>
      <c r="K207" s="147" t="n">
        <v>3495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欣興(3037)</t>
        </is>
      </c>
      <c r="E208" s="146" t="n">
        <v>7</v>
      </c>
      <c r="F208" s="146" t="n">
        <v>4</v>
      </c>
      <c r="G208" s="146" t="n">
        <v>714</v>
      </c>
      <c r="H208" s="146" t="n">
        <v>460</v>
      </c>
      <c r="I208" s="146" t="n">
        <v>254</v>
      </c>
      <c r="J208" s="147" t="n">
        <v>1019.71</v>
      </c>
      <c r="K208" s="147" t="n">
        <v>1150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高力(8996)</t>
        </is>
      </c>
      <c r="E209" s="146" t="n">
        <v>4</v>
      </c>
      <c r="F209" s="146" t="n">
        <v>2</v>
      </c>
      <c r="G209" s="146" t="n">
        <v>694</v>
      </c>
      <c r="H209" s="146" t="n">
        <v>340</v>
      </c>
      <c r="I209" s="146" t="n">
        <v>354</v>
      </c>
      <c r="J209" s="147" t="n">
        <v>1736.25</v>
      </c>
      <c r="K209" s="147" t="n">
        <v>1700</v>
      </c>
      <c r="L209" s="233">
        <f>F209*(K209-J209)</f>
        <v/>
      </c>
    </row>
    <row r="210" ht="16.5" customHeight="1">
      <c r="A210" s="149" t="n"/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A211" s="148" t="n"/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雙鴻(3324)</t>
        </is>
      </c>
      <c r="E211" s="146" t="n">
        <v>61</v>
      </c>
      <c r="F211" s="146" t="n">
        <v>29</v>
      </c>
      <c r="G211" s="146" t="n">
        <v>8906</v>
      </c>
      <c r="H211" s="146" t="n">
        <v>4176</v>
      </c>
      <c r="I211" s="146" t="n">
        <v>4730</v>
      </c>
      <c r="J211" s="147" t="n">
        <v>1459.95</v>
      </c>
      <c r="K211" s="147" t="n">
        <v>1440</v>
      </c>
      <c r="L211" s="233">
        <f>F211*(K211-J211)</f>
        <v/>
      </c>
    </row>
    <row r="212" ht="16.5" customHeight="1">
      <c r="A212" s="148" t="n"/>
      <c r="B212" s="148" t="n"/>
      <c r="C212" s="148" t="n"/>
      <c r="D212" s="145" t="inlineStr">
        <is>
          <t>辛耘(3583)</t>
        </is>
      </c>
      <c r="E212" s="146" t="n">
        <v>100</v>
      </c>
      <c r="F212" s="146" t="n">
        <v>0</v>
      </c>
      <c r="G212" s="146" t="n">
        <v>5959</v>
      </c>
      <c r="H212" s="146" t="n">
        <v>0</v>
      </c>
      <c r="I212" s="146" t="n">
        <v>5959</v>
      </c>
      <c r="J212" s="147" t="n">
        <v>595.9</v>
      </c>
      <c r="K212" s="147" t="n">
        <v>0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世界(5347)</t>
        </is>
      </c>
      <c r="E213" s="146" t="n">
        <v>301</v>
      </c>
      <c r="F213" s="146" t="n">
        <v>2</v>
      </c>
      <c r="G213" s="146" t="n">
        <v>4875</v>
      </c>
      <c r="H213" s="146" t="n">
        <v>32</v>
      </c>
      <c r="I213" s="146" t="n">
        <v>4843</v>
      </c>
      <c r="J213" s="147" t="n">
        <v>161.96</v>
      </c>
      <c r="K213" s="147" t="n">
        <v>161.5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台積電(2330)</t>
        </is>
      </c>
      <c r="E214" s="146" t="n">
        <v>13</v>
      </c>
      <c r="F214" s="146" t="n">
        <v>1</v>
      </c>
      <c r="G214" s="146" t="n">
        <v>3121</v>
      </c>
      <c r="H214" s="146" t="n">
        <v>244</v>
      </c>
      <c r="I214" s="146" t="n">
        <v>2877</v>
      </c>
      <c r="J214" s="147" t="n">
        <v>2401</v>
      </c>
      <c r="K214" s="147" t="n">
        <v>2435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玉晶光(3406)</t>
        </is>
      </c>
      <c r="E215" s="146" t="n">
        <v>24</v>
      </c>
      <c r="F215" s="146" t="n">
        <v>20</v>
      </c>
      <c r="G215" s="146" t="n">
        <v>2810</v>
      </c>
      <c r="H215" s="146" t="n">
        <v>2338</v>
      </c>
      <c r="I215" s="146" t="n">
        <v>472</v>
      </c>
      <c r="J215" s="147" t="n">
        <v>1170.83</v>
      </c>
      <c r="K215" s="147" t="n">
        <v>1169.25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台表科(6278)</t>
        </is>
      </c>
      <c r="E216" s="146" t="n">
        <v>48</v>
      </c>
      <c r="F216" s="146" t="n">
        <v>33</v>
      </c>
      <c r="G216" s="146" t="n">
        <v>1382</v>
      </c>
      <c r="H216" s="146" t="n">
        <v>970</v>
      </c>
      <c r="I216" s="146" t="n">
        <v>412</v>
      </c>
      <c r="J216" s="147" t="n">
        <v>287.88</v>
      </c>
      <c r="K216" s="147" t="n">
        <v>293.79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廣宇(2328)</t>
        </is>
      </c>
      <c r="E217" s="146" t="n">
        <v>224</v>
      </c>
      <c r="F217" s="146" t="n">
        <v>31</v>
      </c>
      <c r="G217" s="146" t="n">
        <v>1274</v>
      </c>
      <c r="H217" s="146" t="n">
        <v>175</v>
      </c>
      <c r="I217" s="146" t="n">
        <v>1099</v>
      </c>
      <c r="J217" s="147" t="n">
        <v>56.88</v>
      </c>
      <c r="K217" s="147" t="n">
        <v>56.55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中鋼(2002)</t>
        </is>
      </c>
      <c r="E218" s="146" t="n">
        <v>646</v>
      </c>
      <c r="F218" s="146" t="n">
        <v>0</v>
      </c>
      <c r="G218" s="146" t="n">
        <v>1266</v>
      </c>
      <c r="H218" s="146" t="n">
        <v>0</v>
      </c>
      <c r="I218" s="146" t="n">
        <v>1266</v>
      </c>
      <c r="J218" s="147" t="n">
        <v>19.6</v>
      </c>
      <c r="K218" s="147" t="n">
        <v>0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上海商銀(5876)</t>
        </is>
      </c>
      <c r="E219" s="146" t="n">
        <v>204</v>
      </c>
      <c r="F219" s="146" t="n">
        <v>0</v>
      </c>
      <c r="G219" s="146" t="n">
        <v>1111</v>
      </c>
      <c r="H219" s="146" t="n">
        <v>0</v>
      </c>
      <c r="I219" s="146" t="n">
        <v>1111</v>
      </c>
      <c r="J219" s="147" t="n">
        <v>54.48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台泥(1101)</t>
        </is>
      </c>
      <c r="E220" s="146" t="n">
        <v>375</v>
      </c>
      <c r="F220" s="146" t="n">
        <v>16</v>
      </c>
      <c r="G220" s="146" t="n">
        <v>1052</v>
      </c>
      <c r="H220" s="146" t="n">
        <v>44</v>
      </c>
      <c r="I220" s="146" t="n">
        <v>1008</v>
      </c>
      <c r="J220" s="147" t="n">
        <v>28.04</v>
      </c>
      <c r="K220" s="147" t="n">
        <v>27.62</v>
      </c>
      <c r="L220" s="233">
        <f>F220*(K220-J220)</f>
        <v/>
      </c>
    </row>
    <row r="221" ht="16.5" customHeight="1">
      <c r="A221" s="149" t="n"/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A222" s="148" t="n"/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臻鼎-KY(4958)</t>
        </is>
      </c>
      <c r="E222" s="146" t="n">
        <v>178</v>
      </c>
      <c r="F222" s="146" t="n">
        <v>47</v>
      </c>
      <c r="G222" s="146" t="n">
        <v>10679</v>
      </c>
      <c r="H222" s="146" t="n">
        <v>2790</v>
      </c>
      <c r="I222" s="146" t="n">
        <v>7889</v>
      </c>
      <c r="J222" s="147" t="n">
        <v>599.9400000000001</v>
      </c>
      <c r="K222" s="147" t="n">
        <v>593.6799999999999</v>
      </c>
      <c r="L222" s="233">
        <f>F222*(K222-J222)</f>
        <v/>
      </c>
    </row>
    <row r="223" ht="16.5" customHeight="1">
      <c r="A223" s="148" t="n"/>
      <c r="B223" s="148" t="n"/>
      <c r="C223" s="148" t="n"/>
      <c r="D223" s="145" t="inlineStr">
        <is>
          <t>台燿(6274)</t>
        </is>
      </c>
      <c r="E223" s="146" t="n">
        <v>51</v>
      </c>
      <c r="F223" s="146" t="n">
        <v>6</v>
      </c>
      <c r="G223" s="146" t="n">
        <v>7658</v>
      </c>
      <c r="H223" s="146" t="n">
        <v>918</v>
      </c>
      <c r="I223" s="146" t="n">
        <v>6740</v>
      </c>
      <c r="J223" s="147" t="n">
        <v>1501.61</v>
      </c>
      <c r="K223" s="147" t="n">
        <v>1530.33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台光電(2383)</t>
        </is>
      </c>
      <c r="E224" s="146" t="n">
        <v>5</v>
      </c>
      <c r="F224" s="146" t="n">
        <v>1</v>
      </c>
      <c r="G224" s="146" t="n">
        <v>2747</v>
      </c>
      <c r="H224" s="146" t="n">
        <v>92</v>
      </c>
      <c r="I224" s="146" t="n">
        <v>2655</v>
      </c>
      <c r="J224" s="147" t="n">
        <v>5494.8</v>
      </c>
      <c r="K224" s="147" t="n">
        <v>918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台積電(2330)</t>
        </is>
      </c>
      <c r="E225" s="146" t="n">
        <v>10</v>
      </c>
      <c r="F225" s="146" t="n">
        <v>1</v>
      </c>
      <c r="G225" s="146" t="n">
        <v>2438</v>
      </c>
      <c r="H225" s="146" t="n">
        <v>337</v>
      </c>
      <c r="I225" s="146" t="n">
        <v>2101</v>
      </c>
      <c r="J225" s="147" t="n">
        <v>2438.3</v>
      </c>
      <c r="K225" s="147" t="n">
        <v>3371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南亞(1303)</t>
        </is>
      </c>
      <c r="E226" s="146" t="n">
        <v>61</v>
      </c>
      <c r="F226" s="146" t="n">
        <v>53</v>
      </c>
      <c r="G226" s="146" t="n">
        <v>1824</v>
      </c>
      <c r="H226" s="146" t="n">
        <v>1604</v>
      </c>
      <c r="I226" s="146" t="n">
        <v>220</v>
      </c>
      <c r="J226" s="147" t="n">
        <v>299</v>
      </c>
      <c r="K226" s="147" t="n">
        <v>302.7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欣興(3037)</t>
        </is>
      </c>
      <c r="E227" s="146" t="n">
        <v>17</v>
      </c>
      <c r="F227" s="146" t="n">
        <v>6</v>
      </c>
      <c r="G227" s="146" t="n">
        <v>1805</v>
      </c>
      <c r="H227" s="146" t="n">
        <v>611</v>
      </c>
      <c r="I227" s="146" t="n">
        <v>1194</v>
      </c>
      <c r="J227" s="147" t="n">
        <v>1062</v>
      </c>
      <c r="K227" s="147" t="n">
        <v>1018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誠美材(4960)</t>
        </is>
      </c>
      <c r="E228" s="146" t="n">
        <v>496</v>
      </c>
      <c r="F228" s="146" t="n">
        <v>10</v>
      </c>
      <c r="G228" s="146" t="n">
        <v>1607</v>
      </c>
      <c r="H228" s="146" t="n">
        <v>34</v>
      </c>
      <c r="I228" s="146" t="n">
        <v>1573</v>
      </c>
      <c r="J228" s="147" t="n">
        <v>32.4</v>
      </c>
      <c r="K228" s="147" t="n">
        <v>33.9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國巨*(2327)</t>
        </is>
      </c>
      <c r="E229" s="146" t="n">
        <v>30</v>
      </c>
      <c r="F229" s="146" t="n">
        <v>18</v>
      </c>
      <c r="G229" s="146" t="n">
        <v>1512</v>
      </c>
      <c r="H229" s="146" t="n">
        <v>896</v>
      </c>
      <c r="I229" s="146" t="n">
        <v>616</v>
      </c>
      <c r="J229" s="147" t="n">
        <v>504.1</v>
      </c>
      <c r="K229" s="147" t="n">
        <v>497.89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台達電(2308)</t>
        </is>
      </c>
      <c r="E230" s="146" t="n">
        <v>8</v>
      </c>
      <c r="F230" s="146" t="n">
        <v>1</v>
      </c>
      <c r="G230" s="146" t="n">
        <v>1257</v>
      </c>
      <c r="H230" s="146" t="n">
        <v>16</v>
      </c>
      <c r="I230" s="146" t="n">
        <v>1241</v>
      </c>
      <c r="J230" s="147" t="n">
        <v>1571.62</v>
      </c>
      <c r="K230" s="147" t="n">
        <v>158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光頡(3624)</t>
        </is>
      </c>
      <c r="E231" s="146" t="n">
        <v>74</v>
      </c>
      <c r="F231" s="146" t="n">
        <v>2</v>
      </c>
      <c r="G231" s="146" t="n">
        <v>1044</v>
      </c>
      <c r="H231" s="146" t="n">
        <v>30</v>
      </c>
      <c r="I231" s="146" t="n">
        <v>1014</v>
      </c>
      <c r="J231" s="147" t="n">
        <v>141.08</v>
      </c>
      <c r="K231" s="147" t="n">
        <v>148</v>
      </c>
      <c r="L231" s="232">
        <f>F231*(K231-J231)</f>
        <v/>
      </c>
    </row>
    <row r="232" ht="16.5" customHeight="1">
      <c r="A232" s="149" t="n"/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A233" s="148" t="n"/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聯茂(6213)</t>
        </is>
      </c>
      <c r="E233" s="146" t="n">
        <v>85</v>
      </c>
      <c r="F233" s="146" t="n">
        <v>75</v>
      </c>
      <c r="G233" s="146" t="n">
        <v>6607</v>
      </c>
      <c r="H233" s="146" t="n">
        <v>5796</v>
      </c>
      <c r="I233" s="146" t="n">
        <v>811</v>
      </c>
      <c r="J233" s="147" t="n">
        <v>777.25</v>
      </c>
      <c r="K233" s="147" t="n">
        <v>772.87</v>
      </c>
      <c r="L233" s="233">
        <f>F233*(K233-J233)</f>
        <v/>
      </c>
    </row>
    <row r="234" ht="16.5" customHeight="1">
      <c r="A234" s="148" t="n"/>
      <c r="B234" s="148" t="n"/>
      <c r="C234" s="148" t="n"/>
      <c r="D234" s="145" t="inlineStr">
        <is>
          <t>聯發科(2454)</t>
        </is>
      </c>
      <c r="E234" s="146" t="n">
        <v>8</v>
      </c>
      <c r="F234" s="146" t="n">
        <v>8</v>
      </c>
      <c r="G234" s="146" t="n">
        <v>3379</v>
      </c>
      <c r="H234" s="146" t="n">
        <v>3242</v>
      </c>
      <c r="I234" s="146" t="n">
        <v>137</v>
      </c>
      <c r="J234" s="147" t="n">
        <v>4223.88</v>
      </c>
      <c r="K234" s="147" t="n">
        <v>4052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玉晶光(3406)</t>
        </is>
      </c>
      <c r="E235" s="146" t="n">
        <v>19</v>
      </c>
      <c r="F235" s="146" t="n">
        <v>15</v>
      </c>
      <c r="G235" s="146" t="n">
        <v>2222</v>
      </c>
      <c r="H235" s="146" t="n">
        <v>1768</v>
      </c>
      <c r="I235" s="146" t="n">
        <v>454</v>
      </c>
      <c r="J235" s="147" t="n">
        <v>1169.21</v>
      </c>
      <c r="K235" s="147" t="n">
        <v>1178.67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光聖(6442)</t>
        </is>
      </c>
      <c r="E236" s="146" t="n">
        <v>13</v>
      </c>
      <c r="F236" s="146" t="n">
        <v>3</v>
      </c>
      <c r="G236" s="146" t="n">
        <v>1913</v>
      </c>
      <c r="H236" s="146" t="n">
        <v>426</v>
      </c>
      <c r="I236" s="146" t="n">
        <v>1487</v>
      </c>
      <c r="J236" s="147" t="n">
        <v>1471.69</v>
      </c>
      <c r="K236" s="147" t="n">
        <v>1420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台光電(2383)</t>
        </is>
      </c>
      <c r="E237" s="146" t="n">
        <v>2</v>
      </c>
      <c r="F237" s="146" t="n">
        <v>1</v>
      </c>
      <c r="G237" s="146" t="n">
        <v>1035</v>
      </c>
      <c r="H237" s="146" t="n">
        <v>29</v>
      </c>
      <c r="I237" s="146" t="n">
        <v>1006</v>
      </c>
      <c r="J237" s="147" t="n">
        <v>5174</v>
      </c>
      <c r="K237" s="147" t="n">
        <v>286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騰輝電子-KY(6672)</t>
        </is>
      </c>
      <c r="E238" s="146" t="n">
        <v>15</v>
      </c>
      <c r="F238" s="146" t="n">
        <v>9</v>
      </c>
      <c r="G238" s="146" t="n">
        <v>885</v>
      </c>
      <c r="H238" s="146" t="n">
        <v>551</v>
      </c>
      <c r="I238" s="146" t="n">
        <v>334</v>
      </c>
      <c r="J238" s="147" t="n">
        <v>590.0700000000001</v>
      </c>
      <c r="K238" s="147" t="n">
        <v>612.22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力積電(6770)</t>
        </is>
      </c>
      <c r="E239" s="146" t="n">
        <v>127</v>
      </c>
      <c r="F239" s="146" t="n">
        <v>48</v>
      </c>
      <c r="G239" s="146" t="n">
        <v>868</v>
      </c>
      <c r="H239" s="146" t="n">
        <v>326</v>
      </c>
      <c r="I239" s="146" t="n">
        <v>542</v>
      </c>
      <c r="J239" s="147" t="n">
        <v>68.31</v>
      </c>
      <c r="K239" s="147" t="n">
        <v>67.95999999999999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華新科(2492)</t>
        </is>
      </c>
      <c r="E240" s="146" t="n">
        <v>20</v>
      </c>
      <c r="F240" s="146" t="n">
        <v>14</v>
      </c>
      <c r="G240" s="146" t="n">
        <v>745</v>
      </c>
      <c r="H240" s="146" t="n">
        <v>509</v>
      </c>
      <c r="I240" s="146" t="n">
        <v>236</v>
      </c>
      <c r="J240" s="147" t="n">
        <v>372.4</v>
      </c>
      <c r="K240" s="147" t="n">
        <v>363.79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健策(3653)</t>
        </is>
      </c>
      <c r="E241" s="146" t="n">
        <v>1</v>
      </c>
      <c r="F241" s="146" t="n">
        <v>0</v>
      </c>
      <c r="G241" s="146" t="n">
        <v>627</v>
      </c>
      <c r="H241" s="146" t="n">
        <v>0</v>
      </c>
      <c r="I241" s="146" t="n">
        <v>627</v>
      </c>
      <c r="J241" s="147" t="n">
        <v>6270</v>
      </c>
      <c r="K241" s="147" t="n">
        <v>0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強茂(2481)</t>
        </is>
      </c>
      <c r="E242" s="146" t="n">
        <v>35</v>
      </c>
      <c r="F242" s="146" t="n">
        <v>20</v>
      </c>
      <c r="G242" s="146" t="n">
        <v>556</v>
      </c>
      <c r="H242" s="146" t="n">
        <v>312</v>
      </c>
      <c r="I242" s="146" t="n">
        <v>244</v>
      </c>
      <c r="J242" s="147" t="n">
        <v>158.74</v>
      </c>
      <c r="K242" s="147" t="n">
        <v>155.95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17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2317</v>
      </c>
      <c r="K244" s="154" t="n">
        <v>3496</v>
      </c>
      <c r="L244" s="232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3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33">
        <f>F253*(K253-J253)</f>
        <v/>
      </c>
    </row>
    <row r="254" ht="16.5" customHeight="1">
      <c r="A254" s="156" t="n"/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557</v>
      </c>
      <c r="F255" s="153" t="n">
        <v>287</v>
      </c>
      <c r="G255" s="153" t="n">
        <v>79150</v>
      </c>
      <c r="H255" s="153" t="n">
        <v>40738</v>
      </c>
      <c r="I255" s="153" t="n">
        <v>38412</v>
      </c>
      <c r="J255" s="154" t="n">
        <v>1421</v>
      </c>
      <c r="K255" s="154" t="n">
        <v>1419.45</v>
      </c>
      <c r="L255" s="23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33">
        <f>F264*(K264-J264)</f>
        <v/>
      </c>
    </row>
    <row r="265" ht="16.5" customHeight="1">
      <c r="A265" s="156" t="n"/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32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精測(6510)</t>
        </is>
      </c>
      <c r="E267" s="153" t="n">
        <v>284</v>
      </c>
      <c r="F267" s="153" t="n">
        <v>10</v>
      </c>
      <c r="G267" s="153" t="n">
        <v>87175</v>
      </c>
      <c r="H267" s="153" t="n">
        <v>2925</v>
      </c>
      <c r="I267" s="153" t="n">
        <v>84250</v>
      </c>
      <c r="J267" s="154" t="n">
        <v>3069.53</v>
      </c>
      <c r="K267" s="154" t="n">
        <v>2925.1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欣興(3037)</t>
        </is>
      </c>
      <c r="E270" s="153" t="n">
        <v>503</v>
      </c>
      <c r="F270" s="153" t="n">
        <v>273</v>
      </c>
      <c r="G270" s="153" t="n">
        <v>54610</v>
      </c>
      <c r="H270" s="153" t="n">
        <v>29635</v>
      </c>
      <c r="I270" s="153" t="n">
        <v>24975</v>
      </c>
      <c r="J270" s="154" t="n">
        <v>1085.68</v>
      </c>
      <c r="K270" s="154" t="n">
        <v>1085.55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南電(8046)</t>
        </is>
      </c>
      <c r="E273" s="153" t="n">
        <v>349</v>
      </c>
      <c r="F273" s="153" t="n">
        <v>49</v>
      </c>
      <c r="G273" s="153" t="n">
        <v>44119</v>
      </c>
      <c r="H273" s="153" t="n">
        <v>6205</v>
      </c>
      <c r="I273" s="153" t="n">
        <v>37914</v>
      </c>
      <c r="J273" s="154" t="n">
        <v>1264.17</v>
      </c>
      <c r="K273" s="154" t="n">
        <v>1266.41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42</v>
      </c>
      <c r="F277" s="160" t="n">
        <v>15</v>
      </c>
      <c r="G277" s="160" t="n">
        <v>9908</v>
      </c>
      <c r="H277" s="160" t="n">
        <v>3616</v>
      </c>
      <c r="I277" s="160" t="n">
        <v>6292</v>
      </c>
      <c r="J277" s="161" t="n">
        <v>2359.02</v>
      </c>
      <c r="K277" s="161" t="n">
        <v>2410.53</v>
      </c>
      <c r="L277" s="232">
        <f>F277*(K277-J277)</f>
        <v/>
      </c>
    </row>
    <row r="278" ht="16.5" customHeight="1">
      <c r="A278" s="162" t="n"/>
      <c r="B278" s="162" t="n"/>
      <c r="C278" s="162" t="n"/>
      <c r="D278" s="159" t="inlineStr">
        <is>
          <t>聯茂(6213)</t>
        </is>
      </c>
      <c r="E278" s="160" t="n">
        <v>124</v>
      </c>
      <c r="F278" s="160" t="n">
        <v>98</v>
      </c>
      <c r="G278" s="160" t="n">
        <v>9602</v>
      </c>
      <c r="H278" s="160" t="n">
        <v>7603</v>
      </c>
      <c r="I278" s="160" t="n">
        <v>1999</v>
      </c>
      <c r="J278" s="161" t="n">
        <v>774.39</v>
      </c>
      <c r="K278" s="161" t="n">
        <v>775.8099999999999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國巨*(2327)</t>
        </is>
      </c>
      <c r="E279" s="160" t="n">
        <v>80</v>
      </c>
      <c r="F279" s="160" t="n">
        <v>24</v>
      </c>
      <c r="G279" s="160" t="n">
        <v>4172</v>
      </c>
      <c r="H279" s="160" t="n">
        <v>1262</v>
      </c>
      <c r="I279" s="160" t="n">
        <v>2910</v>
      </c>
      <c r="J279" s="161" t="n">
        <v>521.51</v>
      </c>
      <c r="K279" s="161" t="n">
        <v>525.88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聯發科(2454)</t>
        </is>
      </c>
      <c r="E280" s="160" t="n">
        <v>8</v>
      </c>
      <c r="F280" s="160" t="n">
        <v>5</v>
      </c>
      <c r="G280" s="160" t="n">
        <v>3137</v>
      </c>
      <c r="H280" s="160" t="n">
        <v>1857</v>
      </c>
      <c r="I280" s="160" t="n">
        <v>1280</v>
      </c>
      <c r="J280" s="161" t="n">
        <v>3920.88</v>
      </c>
      <c r="K280" s="161" t="n">
        <v>3714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GIS-KY(6456)</t>
        </is>
      </c>
      <c r="E281" s="160" t="n">
        <v>280</v>
      </c>
      <c r="F281" s="160" t="n">
        <v>202</v>
      </c>
      <c r="G281" s="160" t="n">
        <v>2910</v>
      </c>
      <c r="H281" s="160" t="n">
        <v>2103</v>
      </c>
      <c r="I281" s="160" t="n">
        <v>807</v>
      </c>
      <c r="J281" s="161" t="n">
        <v>103.93</v>
      </c>
      <c r="K281" s="161" t="n">
        <v>104.12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景碩(3189)</t>
        </is>
      </c>
      <c r="E282" s="160" t="n">
        <v>26</v>
      </c>
      <c r="F282" s="160" t="n">
        <v>17</v>
      </c>
      <c r="G282" s="160" t="n">
        <v>2580</v>
      </c>
      <c r="H282" s="160" t="n">
        <v>1675</v>
      </c>
      <c r="I282" s="160" t="n">
        <v>905</v>
      </c>
      <c r="J282" s="161" t="n">
        <v>992.38</v>
      </c>
      <c r="K282" s="161" t="n">
        <v>985.29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台達電(2308)</t>
        </is>
      </c>
      <c r="E283" s="160" t="n">
        <v>16</v>
      </c>
      <c r="F283" s="160" t="n">
        <v>4</v>
      </c>
      <c r="G283" s="160" t="n">
        <v>2427</v>
      </c>
      <c r="H283" s="160" t="n">
        <v>546</v>
      </c>
      <c r="I283" s="160" t="n">
        <v>1881</v>
      </c>
      <c r="J283" s="161" t="n">
        <v>1517.12</v>
      </c>
      <c r="K283" s="161" t="n">
        <v>1365.5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大量(3167)</t>
        </is>
      </c>
      <c r="E284" s="160" t="n">
        <v>19</v>
      </c>
      <c r="F284" s="160" t="n">
        <v>1</v>
      </c>
      <c r="G284" s="160" t="n">
        <v>1791</v>
      </c>
      <c r="H284" s="160" t="n">
        <v>91</v>
      </c>
      <c r="I284" s="160" t="n">
        <v>1700</v>
      </c>
      <c r="J284" s="161" t="n">
        <v>942.63</v>
      </c>
      <c r="K284" s="161" t="n">
        <v>911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台光電(2383)</t>
        </is>
      </c>
      <c r="E285" s="160" t="n">
        <v>3</v>
      </c>
      <c r="F285" s="160" t="n">
        <v>2</v>
      </c>
      <c r="G285" s="160" t="n">
        <v>1680</v>
      </c>
      <c r="H285" s="160" t="n">
        <v>967</v>
      </c>
      <c r="I285" s="160" t="n">
        <v>713</v>
      </c>
      <c r="J285" s="161" t="n">
        <v>5598.67</v>
      </c>
      <c r="K285" s="161" t="n">
        <v>4833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台星科(3265)</t>
        </is>
      </c>
      <c r="E286" s="160" t="n">
        <v>69</v>
      </c>
      <c r="F286" s="160" t="n">
        <v>20</v>
      </c>
      <c r="G286" s="160" t="n">
        <v>1570</v>
      </c>
      <c r="H286" s="160" t="n">
        <v>456</v>
      </c>
      <c r="I286" s="160" t="n">
        <v>1114</v>
      </c>
      <c r="J286" s="161" t="n">
        <v>227.51</v>
      </c>
      <c r="K286" s="161" t="n">
        <v>228</v>
      </c>
      <c r="L286" s="232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11</v>
      </c>
      <c r="F288" s="166" t="n">
        <v>4</v>
      </c>
      <c r="G288" s="166" t="n">
        <v>2677</v>
      </c>
      <c r="H288" s="166" t="n">
        <v>964</v>
      </c>
      <c r="I288" s="166" t="n">
        <v>1713</v>
      </c>
      <c r="J288" s="167" t="n">
        <v>2433.55</v>
      </c>
      <c r="K288" s="167" t="n">
        <v>2408.75</v>
      </c>
      <c r="L288" s="233">
        <f>F288*(K288-J288)</f>
        <v/>
      </c>
    </row>
    <row r="289" ht="16.5" customHeight="1">
      <c r="A289" s="168" t="n"/>
      <c r="B289" s="168" t="n"/>
      <c r="C289" s="168" t="n"/>
      <c r="D289" s="165" t="inlineStr">
        <is>
          <t>台化(1326)</t>
        </is>
      </c>
      <c r="E289" s="166" t="n">
        <v>353</v>
      </c>
      <c r="F289" s="166" t="n">
        <v>21</v>
      </c>
      <c r="G289" s="166" t="n">
        <v>2637</v>
      </c>
      <c r="H289" s="166" t="n">
        <v>154</v>
      </c>
      <c r="I289" s="166" t="n">
        <v>2483</v>
      </c>
      <c r="J289" s="167" t="n">
        <v>74.70999999999999</v>
      </c>
      <c r="K289" s="167" t="n">
        <v>73.09999999999999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創意(3443)</t>
        </is>
      </c>
      <c r="E290" s="166" t="n">
        <v>3</v>
      </c>
      <c r="F290" s="166" t="n">
        <v>2</v>
      </c>
      <c r="G290" s="166" t="n">
        <v>2389</v>
      </c>
      <c r="H290" s="166" t="n">
        <v>1599</v>
      </c>
      <c r="I290" s="166" t="n">
        <v>790</v>
      </c>
      <c r="J290" s="167" t="n">
        <v>7962.67</v>
      </c>
      <c r="K290" s="167" t="n">
        <v>7994.5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國巨*(2327)</t>
        </is>
      </c>
      <c r="E291" s="166" t="n">
        <v>44</v>
      </c>
      <c r="F291" s="166" t="n">
        <v>24</v>
      </c>
      <c r="G291" s="166" t="n">
        <v>2250</v>
      </c>
      <c r="H291" s="166" t="n">
        <v>1238</v>
      </c>
      <c r="I291" s="166" t="n">
        <v>1012</v>
      </c>
      <c r="J291" s="167" t="n">
        <v>511.32</v>
      </c>
      <c r="K291" s="167" t="n">
        <v>515.67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南亞(1303)</t>
        </is>
      </c>
      <c r="E292" s="166" t="n">
        <v>56</v>
      </c>
      <c r="F292" s="166" t="n">
        <v>27</v>
      </c>
      <c r="G292" s="166" t="n">
        <v>1764</v>
      </c>
      <c r="H292" s="166" t="n">
        <v>839</v>
      </c>
      <c r="I292" s="166" t="n">
        <v>925</v>
      </c>
      <c r="J292" s="167" t="n">
        <v>314.96</v>
      </c>
      <c r="K292" s="167" t="n">
        <v>310.67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台郡(6269)</t>
        </is>
      </c>
      <c r="E293" s="166" t="n">
        <v>215</v>
      </c>
      <c r="F293" s="166" t="n">
        <v>20</v>
      </c>
      <c r="G293" s="166" t="n">
        <v>1749</v>
      </c>
      <c r="H293" s="166" t="n">
        <v>164</v>
      </c>
      <c r="I293" s="166" t="n">
        <v>1585</v>
      </c>
      <c r="J293" s="167" t="n">
        <v>81.37</v>
      </c>
      <c r="K293" s="167" t="n">
        <v>82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台塑(1301)</t>
        </is>
      </c>
      <c r="E294" s="166" t="n">
        <v>199</v>
      </c>
      <c r="F294" s="166" t="n">
        <v>25</v>
      </c>
      <c r="G294" s="166" t="n">
        <v>1507</v>
      </c>
      <c r="H294" s="166" t="n">
        <v>187</v>
      </c>
      <c r="I294" s="166" t="n">
        <v>1320</v>
      </c>
      <c r="J294" s="167" t="n">
        <v>75.72</v>
      </c>
      <c r="K294" s="167" t="n">
        <v>74.68000000000001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台達電(2308)</t>
        </is>
      </c>
      <c r="E295" s="166" t="n">
        <v>8</v>
      </c>
      <c r="F295" s="166" t="n">
        <v>0</v>
      </c>
      <c r="G295" s="166" t="n">
        <v>1289</v>
      </c>
      <c r="H295" s="166" t="n">
        <v>0</v>
      </c>
      <c r="I295" s="166" t="n">
        <v>1289</v>
      </c>
      <c r="J295" s="167" t="n">
        <v>1611.62</v>
      </c>
      <c r="K295" s="167" t="n">
        <v>0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友達(2409)</t>
        </is>
      </c>
      <c r="E296" s="166" t="n">
        <v>332</v>
      </c>
      <c r="F296" s="166" t="n">
        <v>254</v>
      </c>
      <c r="G296" s="166" t="n">
        <v>1220</v>
      </c>
      <c r="H296" s="166" t="n">
        <v>921</v>
      </c>
      <c r="I296" s="166" t="n">
        <v>299</v>
      </c>
      <c r="J296" s="167" t="n">
        <v>36.73</v>
      </c>
      <c r="K296" s="167" t="n">
        <v>36.24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欣興(3037)</t>
        </is>
      </c>
      <c r="E297" s="166" t="n">
        <v>10</v>
      </c>
      <c r="F297" s="166" t="n">
        <v>8</v>
      </c>
      <c r="G297" s="166" t="n">
        <v>1106</v>
      </c>
      <c r="H297" s="166" t="n">
        <v>828</v>
      </c>
      <c r="I297" s="166" t="n">
        <v>278</v>
      </c>
      <c r="J297" s="167" t="n">
        <v>1106.2</v>
      </c>
      <c r="K297" s="167" t="n">
        <v>1035.62</v>
      </c>
      <c r="L297" s="233">
        <f>F297*(K297-J297)</f>
        <v/>
      </c>
    </row>
    <row r="298" ht="16.5" customHeight="1">
      <c r="A298" s="169" t="n"/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A299" s="168" t="n"/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台燿(6274)</t>
        </is>
      </c>
      <c r="E299" s="166" t="n">
        <v>53</v>
      </c>
      <c r="F299" s="166" t="n">
        <v>44</v>
      </c>
      <c r="G299" s="166" t="n">
        <v>7508</v>
      </c>
      <c r="H299" s="166" t="n">
        <v>6251</v>
      </c>
      <c r="I299" s="166" t="n">
        <v>1257</v>
      </c>
      <c r="J299" s="167" t="n">
        <v>1416.62</v>
      </c>
      <c r="K299" s="167" t="n">
        <v>1420.64</v>
      </c>
      <c r="L299" s="232">
        <f>F299*(K299-J299)</f>
        <v/>
      </c>
    </row>
    <row r="300" ht="16.5" customHeight="1">
      <c r="A300" s="168" t="n"/>
      <c r="B300" s="168" t="n"/>
      <c r="C300" s="168" t="n"/>
      <c r="D300" s="165" t="inlineStr">
        <is>
          <t>國巨*(2327)</t>
        </is>
      </c>
      <c r="E300" s="166" t="n">
        <v>36</v>
      </c>
      <c r="F300" s="166" t="n">
        <v>16</v>
      </c>
      <c r="G300" s="166" t="n">
        <v>1826</v>
      </c>
      <c r="H300" s="166" t="n">
        <v>819</v>
      </c>
      <c r="I300" s="166" t="n">
        <v>1007</v>
      </c>
      <c r="J300" s="167" t="n">
        <v>507.17</v>
      </c>
      <c r="K300" s="167" t="n">
        <v>511.88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南電(8046)</t>
        </is>
      </c>
      <c r="E301" s="166" t="n">
        <v>13</v>
      </c>
      <c r="F301" s="166" t="n">
        <v>3</v>
      </c>
      <c r="G301" s="166" t="n">
        <v>1670</v>
      </c>
      <c r="H301" s="166" t="n">
        <v>410</v>
      </c>
      <c r="I301" s="166" t="n">
        <v>1260</v>
      </c>
      <c r="J301" s="167" t="n">
        <v>1284.85</v>
      </c>
      <c r="K301" s="167" t="n">
        <v>1367.33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華新科(2492)</t>
        </is>
      </c>
      <c r="E302" s="166" t="n">
        <v>36</v>
      </c>
      <c r="F302" s="166" t="n">
        <v>19</v>
      </c>
      <c r="G302" s="166" t="n">
        <v>1311</v>
      </c>
      <c r="H302" s="166" t="n">
        <v>698</v>
      </c>
      <c r="I302" s="166" t="n">
        <v>613</v>
      </c>
      <c r="J302" s="167" t="n">
        <v>364.11</v>
      </c>
      <c r="K302" s="167" t="n">
        <v>367.32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精材(3374)</t>
        </is>
      </c>
      <c r="E303" s="166" t="n">
        <v>26</v>
      </c>
      <c r="F303" s="166" t="n">
        <v>18</v>
      </c>
      <c r="G303" s="166" t="n">
        <v>1213</v>
      </c>
      <c r="H303" s="166" t="n">
        <v>822</v>
      </c>
      <c r="I303" s="166" t="n">
        <v>391</v>
      </c>
      <c r="J303" s="167" t="n">
        <v>466.62</v>
      </c>
      <c r="K303" s="167" t="n">
        <v>456.5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南亞科(2408)</t>
        </is>
      </c>
      <c r="E304" s="166" t="n">
        <v>29</v>
      </c>
      <c r="F304" s="166" t="n">
        <v>5</v>
      </c>
      <c r="G304" s="166" t="n">
        <v>1185</v>
      </c>
      <c r="H304" s="166" t="n">
        <v>218</v>
      </c>
      <c r="I304" s="166" t="n">
        <v>967</v>
      </c>
      <c r="J304" s="167" t="n">
        <v>408.55</v>
      </c>
      <c r="K304" s="167" t="n">
        <v>436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欣興(3037)</t>
        </is>
      </c>
      <c r="E305" s="166" t="n">
        <v>10</v>
      </c>
      <c r="F305" s="166" t="n">
        <v>3</v>
      </c>
      <c r="G305" s="166" t="n">
        <v>1099</v>
      </c>
      <c r="H305" s="166" t="n">
        <v>375</v>
      </c>
      <c r="I305" s="166" t="n">
        <v>724</v>
      </c>
      <c r="J305" s="167" t="n">
        <v>1099.1</v>
      </c>
      <c r="K305" s="167" t="n">
        <v>1249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聯茂(6213)</t>
        </is>
      </c>
      <c r="E306" s="166" t="n">
        <v>13</v>
      </c>
      <c r="F306" s="166" t="n">
        <v>9</v>
      </c>
      <c r="G306" s="166" t="n">
        <v>1041</v>
      </c>
      <c r="H306" s="166" t="n">
        <v>697</v>
      </c>
      <c r="I306" s="166" t="n">
        <v>344</v>
      </c>
      <c r="J306" s="167" t="n">
        <v>800.46</v>
      </c>
      <c r="K306" s="167" t="n">
        <v>774.11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奇鋐(3017)</t>
        </is>
      </c>
      <c r="E307" s="166" t="n">
        <v>3</v>
      </c>
      <c r="F307" s="166" t="n">
        <v>2</v>
      </c>
      <c r="G307" s="166" t="n">
        <v>981</v>
      </c>
      <c r="H307" s="166" t="n">
        <v>676</v>
      </c>
      <c r="I307" s="166" t="n">
        <v>305</v>
      </c>
      <c r="J307" s="167" t="n">
        <v>3270</v>
      </c>
      <c r="K307" s="167" t="n">
        <v>3380.5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廣達(2382)</t>
        </is>
      </c>
      <c r="E308" s="166" t="n">
        <v>27</v>
      </c>
      <c r="F308" s="166" t="n">
        <v>1</v>
      </c>
      <c r="G308" s="166" t="n">
        <v>881</v>
      </c>
      <c r="H308" s="166" t="n">
        <v>2</v>
      </c>
      <c r="I308" s="166" t="n">
        <v>879</v>
      </c>
      <c r="J308" s="167" t="n">
        <v>326.19</v>
      </c>
      <c r="K308" s="167" t="n">
        <v>16</v>
      </c>
      <c r="L308" s="233">
        <f>F308*(K308-J308)</f>
        <v/>
      </c>
    </row>
    <row r="309" ht="16.5" customHeight="1">
      <c r="A309" s="169" t="n"/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A310" s="168" t="n"/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40</v>
      </c>
      <c r="F310" s="166" t="n">
        <v>1</v>
      </c>
      <c r="G310" s="166" t="n">
        <v>9473</v>
      </c>
      <c r="H310" s="166" t="n">
        <v>317</v>
      </c>
      <c r="I310" s="166" t="n">
        <v>9156</v>
      </c>
      <c r="J310" s="167" t="n">
        <v>2368.2</v>
      </c>
      <c r="K310" s="167" t="n">
        <v>3174</v>
      </c>
      <c r="L310" s="232">
        <f>F310*(K310-J310)</f>
        <v/>
      </c>
    </row>
    <row r="311" ht="16.5" customHeight="1">
      <c r="A311" s="168" t="n"/>
      <c r="B311" s="168" t="n"/>
      <c r="C311" s="168" t="n"/>
      <c r="D311" s="165" t="inlineStr">
        <is>
          <t>TPK-KY(3673)</t>
        </is>
      </c>
      <c r="E311" s="166" t="n">
        <v>391</v>
      </c>
      <c r="F311" s="166" t="n">
        <v>133</v>
      </c>
      <c r="G311" s="166" t="n">
        <v>3021</v>
      </c>
      <c r="H311" s="166" t="n">
        <v>989</v>
      </c>
      <c r="I311" s="166" t="n">
        <v>2032</v>
      </c>
      <c r="J311" s="167" t="n">
        <v>77.25</v>
      </c>
      <c r="K311" s="167" t="n">
        <v>74.37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欣興(3037)</t>
        </is>
      </c>
      <c r="E312" s="166" t="n">
        <v>27</v>
      </c>
      <c r="F312" s="166" t="n">
        <v>16</v>
      </c>
      <c r="G312" s="166" t="n">
        <v>2911</v>
      </c>
      <c r="H312" s="166" t="n">
        <v>1782</v>
      </c>
      <c r="I312" s="166" t="n">
        <v>1129</v>
      </c>
      <c r="J312" s="167" t="n">
        <v>1078.04</v>
      </c>
      <c r="K312" s="167" t="n">
        <v>1114.06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高力(8996)</t>
        </is>
      </c>
      <c r="E313" s="166" t="n">
        <v>17</v>
      </c>
      <c r="F313" s="166" t="n">
        <v>14</v>
      </c>
      <c r="G313" s="166" t="n">
        <v>2684</v>
      </c>
      <c r="H313" s="166" t="n">
        <v>2141</v>
      </c>
      <c r="I313" s="166" t="n">
        <v>543</v>
      </c>
      <c r="J313" s="167" t="n">
        <v>1578.82</v>
      </c>
      <c r="K313" s="167" t="n">
        <v>1529.5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聯發科(2454)</t>
        </is>
      </c>
      <c r="E314" s="166" t="n">
        <v>5</v>
      </c>
      <c r="F314" s="166" t="n">
        <v>3</v>
      </c>
      <c r="G314" s="166" t="n">
        <v>2137</v>
      </c>
      <c r="H314" s="166" t="n">
        <v>1101</v>
      </c>
      <c r="I314" s="166" t="n">
        <v>1036</v>
      </c>
      <c r="J314" s="167" t="n">
        <v>4274</v>
      </c>
      <c r="K314" s="167" t="n">
        <v>3668.67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華新科(2492)</t>
        </is>
      </c>
      <c r="E315" s="166" t="n">
        <v>53</v>
      </c>
      <c r="F315" s="166" t="n">
        <v>35</v>
      </c>
      <c r="G315" s="166" t="n">
        <v>1945</v>
      </c>
      <c r="H315" s="166" t="n">
        <v>1276</v>
      </c>
      <c r="I315" s="166" t="n">
        <v>669</v>
      </c>
      <c r="J315" s="167" t="n">
        <v>367.06</v>
      </c>
      <c r="K315" s="167" t="n">
        <v>364.69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國巨*(2327)</t>
        </is>
      </c>
      <c r="E316" s="166" t="n">
        <v>37</v>
      </c>
      <c r="F316" s="166" t="n">
        <v>10</v>
      </c>
      <c r="G316" s="166" t="n">
        <v>1871</v>
      </c>
      <c r="H316" s="166" t="n">
        <v>526</v>
      </c>
      <c r="I316" s="166" t="n">
        <v>1345</v>
      </c>
      <c r="J316" s="167" t="n">
        <v>505.76</v>
      </c>
      <c r="K316" s="167" t="n">
        <v>526.4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臻鼎-KY(4958)</t>
        </is>
      </c>
      <c r="E317" s="166" t="n">
        <v>30</v>
      </c>
      <c r="F317" s="166" t="n">
        <v>21</v>
      </c>
      <c r="G317" s="166" t="n">
        <v>1687</v>
      </c>
      <c r="H317" s="166" t="n">
        <v>1177</v>
      </c>
      <c r="I317" s="166" t="n">
        <v>510</v>
      </c>
      <c r="J317" s="167" t="n">
        <v>562.33</v>
      </c>
      <c r="K317" s="167" t="n">
        <v>560.33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定穎投控(3715)</t>
        </is>
      </c>
      <c r="E318" s="166" t="n">
        <v>109</v>
      </c>
      <c r="F318" s="166" t="n">
        <v>25</v>
      </c>
      <c r="G318" s="166" t="n">
        <v>1540</v>
      </c>
      <c r="H318" s="166" t="n">
        <v>353</v>
      </c>
      <c r="I318" s="166" t="n">
        <v>1187</v>
      </c>
      <c r="J318" s="167" t="n">
        <v>141.3</v>
      </c>
      <c r="K318" s="167" t="n">
        <v>141.36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南亞科(2408)</t>
        </is>
      </c>
      <c r="E319" s="166" t="n">
        <v>35</v>
      </c>
      <c r="F319" s="166" t="n">
        <v>25</v>
      </c>
      <c r="G319" s="166" t="n">
        <v>1458</v>
      </c>
      <c r="H319" s="166" t="n">
        <v>1030</v>
      </c>
      <c r="I319" s="166" t="n">
        <v>428</v>
      </c>
      <c r="J319" s="167" t="n">
        <v>416.71</v>
      </c>
      <c r="K319" s="167" t="n">
        <v>412.12</v>
      </c>
      <c r="L319" s="233">
        <f>F319*(K319-J319)</f>
        <v/>
      </c>
    </row>
    <row r="320" ht="16.5" customHeight="1">
      <c r="A320" s="169" t="n"/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A321" s="168" t="n"/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奇鋐(3017)</t>
        </is>
      </c>
      <c r="E321" s="166" t="n">
        <v>51</v>
      </c>
      <c r="F321" s="166" t="n">
        <v>1</v>
      </c>
      <c r="G321" s="166" t="n">
        <v>17034</v>
      </c>
      <c r="H321" s="166" t="n">
        <v>398</v>
      </c>
      <c r="I321" s="166" t="n">
        <v>16636</v>
      </c>
      <c r="J321" s="167" t="n">
        <v>3340</v>
      </c>
      <c r="K321" s="167" t="n">
        <v>3977</v>
      </c>
      <c r="L321" s="232">
        <f>F321*(K321-J321)</f>
        <v/>
      </c>
    </row>
    <row r="322" ht="16.5" customHeight="1">
      <c r="A322" s="168" t="n"/>
      <c r="B322" s="168" t="n"/>
      <c r="C322" s="168" t="n"/>
      <c r="D322" s="165" t="inlineStr">
        <is>
          <t>台達電(2308)</t>
        </is>
      </c>
      <c r="E322" s="166" t="n">
        <v>42</v>
      </c>
      <c r="F322" s="166" t="n">
        <v>3</v>
      </c>
      <c r="G322" s="166" t="n">
        <v>6807</v>
      </c>
      <c r="H322" s="166" t="n">
        <v>472</v>
      </c>
      <c r="I322" s="166" t="n">
        <v>6335</v>
      </c>
      <c r="J322" s="167" t="n">
        <v>1620.74</v>
      </c>
      <c r="K322" s="167" t="n">
        <v>1573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台積電(2330)</t>
        </is>
      </c>
      <c r="E323" s="166" t="n">
        <v>24</v>
      </c>
      <c r="F323" s="166" t="n">
        <v>8</v>
      </c>
      <c r="G323" s="166" t="n">
        <v>5777</v>
      </c>
      <c r="H323" s="166" t="n">
        <v>1950</v>
      </c>
      <c r="I323" s="166" t="n">
        <v>3827</v>
      </c>
      <c r="J323" s="167" t="n">
        <v>2407.25</v>
      </c>
      <c r="K323" s="167" t="n">
        <v>2437.25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華新科(2492)</t>
        </is>
      </c>
      <c r="E324" s="166" t="n">
        <v>136</v>
      </c>
      <c r="F324" s="166" t="n">
        <v>107</v>
      </c>
      <c r="G324" s="166" t="n">
        <v>4989</v>
      </c>
      <c r="H324" s="166" t="n">
        <v>3944</v>
      </c>
      <c r="I324" s="166" t="n">
        <v>1045</v>
      </c>
      <c r="J324" s="167" t="n">
        <v>366.86</v>
      </c>
      <c r="K324" s="167" t="n">
        <v>368.61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聯發科(2454)</t>
        </is>
      </c>
      <c r="E325" s="166" t="n">
        <v>11</v>
      </c>
      <c r="F325" s="166" t="n">
        <v>9</v>
      </c>
      <c r="G325" s="166" t="n">
        <v>4323</v>
      </c>
      <c r="H325" s="166" t="n">
        <v>3413</v>
      </c>
      <c r="I325" s="166" t="n">
        <v>910</v>
      </c>
      <c r="J325" s="167" t="n">
        <v>3930.27</v>
      </c>
      <c r="K325" s="167" t="n">
        <v>3791.89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日月光投控(3711)</t>
        </is>
      </c>
      <c r="E326" s="166" t="n">
        <v>57</v>
      </c>
      <c r="F326" s="166" t="n">
        <v>2</v>
      </c>
      <c r="G326" s="166" t="n">
        <v>3814</v>
      </c>
      <c r="H326" s="166" t="n">
        <v>143</v>
      </c>
      <c r="I326" s="166" t="n">
        <v>3671</v>
      </c>
      <c r="J326" s="167" t="n">
        <v>669.05</v>
      </c>
      <c r="K326" s="167" t="n">
        <v>715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南亞(1303)</t>
        </is>
      </c>
      <c r="E327" s="166" t="n">
        <v>117</v>
      </c>
      <c r="F327" s="166" t="n">
        <v>93</v>
      </c>
      <c r="G327" s="166" t="n">
        <v>3524</v>
      </c>
      <c r="H327" s="166" t="n">
        <v>2810</v>
      </c>
      <c r="I327" s="166" t="n">
        <v>714</v>
      </c>
      <c r="J327" s="167" t="n">
        <v>301.15</v>
      </c>
      <c r="K327" s="167" t="n">
        <v>302.15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欣銓(3264)</t>
        </is>
      </c>
      <c r="E328" s="166" t="n">
        <v>97</v>
      </c>
      <c r="F328" s="166" t="n">
        <v>82</v>
      </c>
      <c r="G328" s="166" t="n">
        <v>2399</v>
      </c>
      <c r="H328" s="166" t="n">
        <v>2032</v>
      </c>
      <c r="I328" s="166" t="n">
        <v>367</v>
      </c>
      <c r="J328" s="167" t="n">
        <v>247.36</v>
      </c>
      <c r="K328" s="167" t="n">
        <v>247.82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台化(1326)</t>
        </is>
      </c>
      <c r="E329" s="166" t="n">
        <v>313</v>
      </c>
      <c r="F329" s="166" t="n">
        <v>73</v>
      </c>
      <c r="G329" s="166" t="n">
        <v>2320</v>
      </c>
      <c r="H329" s="166" t="n">
        <v>541</v>
      </c>
      <c r="I329" s="166" t="n">
        <v>1779</v>
      </c>
      <c r="J329" s="167" t="n">
        <v>74.12</v>
      </c>
      <c r="K329" s="167" t="n">
        <v>74.14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台塑(1301)</t>
        </is>
      </c>
      <c r="E330" s="166" t="n">
        <v>293</v>
      </c>
      <c r="F330" s="166" t="n">
        <v>58</v>
      </c>
      <c r="G330" s="166" t="n">
        <v>2179</v>
      </c>
      <c r="H330" s="166" t="n">
        <v>435</v>
      </c>
      <c r="I330" s="166" t="n">
        <v>1744</v>
      </c>
      <c r="J330" s="167" t="n">
        <v>74.38</v>
      </c>
      <c r="K330" s="167" t="n">
        <v>75.06999999999999</v>
      </c>
      <c r="L330" s="232">
        <f>F330*(K330-J330)</f>
        <v/>
      </c>
    </row>
    <row r="331" ht="16.5" customHeight="1">
      <c r="A331" s="169" t="n"/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A332" s="168" t="n"/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32</v>
      </c>
      <c r="F332" s="166" t="n">
        <v>3</v>
      </c>
      <c r="G332" s="166" t="n">
        <v>7530</v>
      </c>
      <c r="H332" s="166" t="n">
        <v>830</v>
      </c>
      <c r="I332" s="166" t="n">
        <v>6700</v>
      </c>
      <c r="J332" s="167" t="n">
        <v>2353.19</v>
      </c>
      <c r="K332" s="167" t="n">
        <v>2768</v>
      </c>
      <c r="L332" s="232">
        <f>F332*(K332-J332)</f>
        <v/>
      </c>
    </row>
    <row r="333" ht="16.5" customHeight="1">
      <c r="A333" s="168" t="n"/>
      <c r="B333" s="168" t="n"/>
      <c r="C333" s="168" t="n"/>
      <c r="D333" s="165" t="inlineStr">
        <is>
          <t>群聯(8299)</t>
        </is>
      </c>
      <c r="E333" s="166" t="n">
        <v>27</v>
      </c>
      <c r="F333" s="166" t="n">
        <v>7</v>
      </c>
      <c r="G333" s="166" t="n">
        <v>5161</v>
      </c>
      <c r="H333" s="166" t="n">
        <v>1389</v>
      </c>
      <c r="I333" s="166" t="n">
        <v>3772</v>
      </c>
      <c r="J333" s="167" t="n">
        <v>1911.44</v>
      </c>
      <c r="K333" s="167" t="n">
        <v>1984.86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緯創(3231)</t>
        </is>
      </c>
      <c r="E334" s="166" t="n">
        <v>261</v>
      </c>
      <c r="F334" s="166" t="n">
        <v>57</v>
      </c>
      <c r="G334" s="166" t="n">
        <v>5060</v>
      </c>
      <c r="H334" s="166" t="n">
        <v>1118</v>
      </c>
      <c r="I334" s="166" t="n">
        <v>3942</v>
      </c>
      <c r="J334" s="167" t="n">
        <v>193.86</v>
      </c>
      <c r="K334" s="167" t="n">
        <v>196.23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國巨*(2327)</t>
        </is>
      </c>
      <c r="E335" s="166" t="n">
        <v>91</v>
      </c>
      <c r="F335" s="166" t="n">
        <v>17</v>
      </c>
      <c r="G335" s="166" t="n">
        <v>4758</v>
      </c>
      <c r="H335" s="166" t="n">
        <v>894</v>
      </c>
      <c r="I335" s="166" t="n">
        <v>3864</v>
      </c>
      <c r="J335" s="167" t="n">
        <v>522.86</v>
      </c>
      <c r="K335" s="167" t="n">
        <v>525.65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南亞(1303)</t>
        </is>
      </c>
      <c r="E336" s="166" t="n">
        <v>126</v>
      </c>
      <c r="F336" s="166" t="n">
        <v>64</v>
      </c>
      <c r="G336" s="166" t="n">
        <v>3928</v>
      </c>
      <c r="H336" s="166" t="n">
        <v>1961</v>
      </c>
      <c r="I336" s="166" t="n">
        <v>1967</v>
      </c>
      <c r="J336" s="167" t="n">
        <v>311.75</v>
      </c>
      <c r="K336" s="167" t="n">
        <v>306.36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聯發科(2454)</t>
        </is>
      </c>
      <c r="E337" s="166" t="n">
        <v>10</v>
      </c>
      <c r="F337" s="166" t="n">
        <v>2</v>
      </c>
      <c r="G337" s="166" t="n">
        <v>3842</v>
      </c>
      <c r="H337" s="166" t="n">
        <v>818</v>
      </c>
      <c r="I337" s="166" t="n">
        <v>3024</v>
      </c>
      <c r="J337" s="167" t="n">
        <v>3841.7</v>
      </c>
      <c r="K337" s="167" t="n">
        <v>4091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台燿(6274)</t>
        </is>
      </c>
      <c r="E338" s="166" t="n">
        <v>21</v>
      </c>
      <c r="F338" s="166" t="n">
        <v>7</v>
      </c>
      <c r="G338" s="166" t="n">
        <v>2957</v>
      </c>
      <c r="H338" s="166" t="n">
        <v>1019</v>
      </c>
      <c r="I338" s="166" t="n">
        <v>1938</v>
      </c>
      <c r="J338" s="167" t="n">
        <v>1407.95</v>
      </c>
      <c r="K338" s="167" t="n">
        <v>1456.14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華新科(2492)</t>
        </is>
      </c>
      <c r="E339" s="166" t="n">
        <v>77</v>
      </c>
      <c r="F339" s="166" t="n">
        <v>32</v>
      </c>
      <c r="G339" s="166" t="n">
        <v>2826</v>
      </c>
      <c r="H339" s="166" t="n">
        <v>1176</v>
      </c>
      <c r="I339" s="166" t="n">
        <v>1650</v>
      </c>
      <c r="J339" s="167" t="n">
        <v>367.06</v>
      </c>
      <c r="K339" s="167" t="n">
        <v>367.41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廣達(2382)</t>
        </is>
      </c>
      <c r="E340" s="166" t="n">
        <v>78</v>
      </c>
      <c r="F340" s="166" t="n">
        <v>27</v>
      </c>
      <c r="G340" s="166" t="n">
        <v>2526</v>
      </c>
      <c r="H340" s="166" t="n">
        <v>855</v>
      </c>
      <c r="I340" s="166" t="n">
        <v>1671</v>
      </c>
      <c r="J340" s="167" t="n">
        <v>323.79</v>
      </c>
      <c r="K340" s="167" t="n">
        <v>316.52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明遠精密(7704)</t>
        </is>
      </c>
      <c r="E341" s="166" t="n">
        <v>356</v>
      </c>
      <c r="F341" s="166" t="n">
        <v>2</v>
      </c>
      <c r="G341" s="166" t="n">
        <v>2361</v>
      </c>
      <c r="H341" s="166" t="n">
        <v>13</v>
      </c>
      <c r="I341" s="166" t="n">
        <v>2348</v>
      </c>
      <c r="J341" s="167" t="n">
        <v>66.33</v>
      </c>
      <c r="K341" s="167" t="n">
        <v>67</v>
      </c>
      <c r="L341" s="232">
        <f>F341*(K341-J341)</f>
        <v/>
      </c>
    </row>
    <row r="342" ht="16.5" customHeight="1">
      <c r="A342" s="169" t="n"/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A343" s="168" t="n"/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國巨*(2327)</t>
        </is>
      </c>
      <c r="E343" s="166" t="n">
        <v>70</v>
      </c>
      <c r="F343" s="166" t="n">
        <v>31</v>
      </c>
      <c r="G343" s="166" t="n">
        <v>3697</v>
      </c>
      <c r="H343" s="166" t="n">
        <v>1607</v>
      </c>
      <c r="I343" s="166" t="n">
        <v>2090</v>
      </c>
      <c r="J343" s="167" t="n">
        <v>528.2</v>
      </c>
      <c r="K343" s="167" t="n">
        <v>518.26</v>
      </c>
      <c r="L343" s="233">
        <f>F343*(K343-J343)</f>
        <v/>
      </c>
    </row>
    <row r="344" ht="16.5" customHeight="1">
      <c r="A344" s="168" t="n"/>
      <c r="B344" s="168" t="n"/>
      <c r="C344" s="168" t="n"/>
      <c r="D344" s="165" t="inlineStr">
        <is>
          <t>聯茂(6213)</t>
        </is>
      </c>
      <c r="E344" s="166" t="n">
        <v>44</v>
      </c>
      <c r="F344" s="166" t="n">
        <v>33</v>
      </c>
      <c r="G344" s="166" t="n">
        <v>3435</v>
      </c>
      <c r="H344" s="166" t="n">
        <v>2556</v>
      </c>
      <c r="I344" s="166" t="n">
        <v>879</v>
      </c>
      <c r="J344" s="167" t="n">
        <v>780.73</v>
      </c>
      <c r="K344" s="167" t="n">
        <v>774.39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南亞(1303)</t>
        </is>
      </c>
      <c r="E345" s="166" t="n">
        <v>107</v>
      </c>
      <c r="F345" s="166" t="n">
        <v>67</v>
      </c>
      <c r="G345" s="166" t="n">
        <v>3212</v>
      </c>
      <c r="H345" s="166" t="n">
        <v>2008</v>
      </c>
      <c r="I345" s="166" t="n">
        <v>1204</v>
      </c>
      <c r="J345" s="167" t="n">
        <v>300.15</v>
      </c>
      <c r="K345" s="167" t="n">
        <v>299.72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富喬(1815)</t>
        </is>
      </c>
      <c r="E346" s="166" t="n">
        <v>181</v>
      </c>
      <c r="F346" s="166" t="n">
        <v>129</v>
      </c>
      <c r="G346" s="166" t="n">
        <v>2654</v>
      </c>
      <c r="H346" s="166" t="n">
        <v>1918</v>
      </c>
      <c r="I346" s="166" t="n">
        <v>736</v>
      </c>
      <c r="J346" s="167" t="n">
        <v>146.6</v>
      </c>
      <c r="K346" s="167" t="n">
        <v>148.71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旺宏(2337)</t>
        </is>
      </c>
      <c r="E347" s="166" t="n">
        <v>254</v>
      </c>
      <c r="F347" s="166" t="n">
        <v>10</v>
      </c>
      <c r="G347" s="166" t="n">
        <v>2561</v>
      </c>
      <c r="H347" s="166" t="n">
        <v>100</v>
      </c>
      <c r="I347" s="166" t="n">
        <v>2461</v>
      </c>
      <c r="J347" s="167" t="n">
        <v>100.82</v>
      </c>
      <c r="K347" s="167" t="n">
        <v>99.8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台達電(2308)</t>
        </is>
      </c>
      <c r="E348" s="166" t="n">
        <v>11</v>
      </c>
      <c r="F348" s="166" t="n">
        <v>3</v>
      </c>
      <c r="G348" s="166" t="n">
        <v>1748</v>
      </c>
      <c r="H348" s="166" t="n">
        <v>482</v>
      </c>
      <c r="I348" s="166" t="n">
        <v>1266</v>
      </c>
      <c r="J348" s="167" t="n">
        <v>1589.36</v>
      </c>
      <c r="K348" s="167" t="n">
        <v>1606.33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台虹(8039)</t>
        </is>
      </c>
      <c r="E349" s="166" t="n">
        <v>61</v>
      </c>
      <c r="F349" s="166" t="n">
        <v>47</v>
      </c>
      <c r="G349" s="166" t="n">
        <v>1620</v>
      </c>
      <c r="H349" s="166" t="n">
        <v>1258</v>
      </c>
      <c r="I349" s="166" t="n">
        <v>362</v>
      </c>
      <c r="J349" s="167" t="n">
        <v>265.57</v>
      </c>
      <c r="K349" s="167" t="n">
        <v>267.66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彩晶(6116)</t>
        </is>
      </c>
      <c r="E350" s="166" t="n">
        <v>1003</v>
      </c>
      <c r="F350" s="166" t="n">
        <v>0</v>
      </c>
      <c r="G350" s="166" t="n">
        <v>1461</v>
      </c>
      <c r="H350" s="166" t="n">
        <v>0</v>
      </c>
      <c r="I350" s="166" t="n">
        <v>1461</v>
      </c>
      <c r="J350" s="167" t="n">
        <v>14.57</v>
      </c>
      <c r="K350" s="167" t="n">
        <v>0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欣興(3037)</t>
        </is>
      </c>
      <c r="E351" s="166" t="n">
        <v>11</v>
      </c>
      <c r="F351" s="166" t="n">
        <v>7</v>
      </c>
      <c r="G351" s="166" t="n">
        <v>1198</v>
      </c>
      <c r="H351" s="166" t="n">
        <v>725</v>
      </c>
      <c r="I351" s="166" t="n">
        <v>473</v>
      </c>
      <c r="J351" s="167" t="n">
        <v>1089</v>
      </c>
      <c r="K351" s="167" t="n">
        <v>1035.14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力積電(6770)</t>
        </is>
      </c>
      <c r="E352" s="166" t="n">
        <v>176</v>
      </c>
      <c r="F352" s="166" t="n">
        <v>119</v>
      </c>
      <c r="G352" s="166" t="n">
        <v>1196</v>
      </c>
      <c r="H352" s="166" t="n">
        <v>808</v>
      </c>
      <c r="I352" s="166" t="n">
        <v>388</v>
      </c>
      <c r="J352" s="167" t="n">
        <v>67.98</v>
      </c>
      <c r="K352" s="167" t="n">
        <v>67.87</v>
      </c>
      <c r="L352" s="233">
        <f>F352*(K352-J352)</f>
        <v/>
      </c>
    </row>
    <row r="353" ht="16.5" customHeight="1">
      <c r="A353" s="169" t="n"/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A354" s="168" t="n"/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創意(3443)</t>
        </is>
      </c>
      <c r="E354" s="166" t="n">
        <v>11</v>
      </c>
      <c r="F354" s="166" t="n">
        <v>10</v>
      </c>
      <c r="G354" s="166" t="n">
        <v>8059</v>
      </c>
      <c r="H354" s="166" t="n">
        <v>7820</v>
      </c>
      <c r="I354" s="166" t="n">
        <v>239</v>
      </c>
      <c r="J354" s="167" t="n">
        <v>7326.09</v>
      </c>
      <c r="K354" s="167" t="n">
        <v>7820</v>
      </c>
      <c r="L354" s="232">
        <f>F354*(K354-J354)</f>
        <v/>
      </c>
    </row>
    <row r="355" ht="16.5" customHeight="1">
      <c r="A355" s="168" t="n"/>
      <c r="B355" s="168" t="n"/>
      <c r="C355" s="168" t="n"/>
      <c r="D355" s="165" t="inlineStr">
        <is>
          <t>台積電(2330)</t>
        </is>
      </c>
      <c r="E355" s="166" t="n">
        <v>15</v>
      </c>
      <c r="F355" s="166" t="n">
        <v>0</v>
      </c>
      <c r="G355" s="166" t="n">
        <v>3567</v>
      </c>
      <c r="H355" s="166" t="n">
        <v>0</v>
      </c>
      <c r="I355" s="166" t="n">
        <v>3567</v>
      </c>
      <c r="J355" s="167" t="n">
        <v>2377.73</v>
      </c>
      <c r="K355" s="167" t="n">
        <v>0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國巨*(2327)</t>
        </is>
      </c>
      <c r="E356" s="166" t="n">
        <v>63</v>
      </c>
      <c r="F356" s="166" t="n">
        <v>7</v>
      </c>
      <c r="G356" s="166" t="n">
        <v>3290</v>
      </c>
      <c r="H356" s="166" t="n">
        <v>362</v>
      </c>
      <c r="I356" s="166" t="n">
        <v>2928</v>
      </c>
      <c r="J356" s="167" t="n">
        <v>522.3</v>
      </c>
      <c r="K356" s="167" t="n">
        <v>517.4299999999999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富喬(1815)</t>
        </is>
      </c>
      <c r="E357" s="166" t="n">
        <v>145</v>
      </c>
      <c r="F357" s="166" t="n">
        <v>72</v>
      </c>
      <c r="G357" s="166" t="n">
        <v>2119</v>
      </c>
      <c r="H357" s="166" t="n">
        <v>1074</v>
      </c>
      <c r="I357" s="166" t="n">
        <v>1045</v>
      </c>
      <c r="J357" s="167" t="n">
        <v>146.14</v>
      </c>
      <c r="K357" s="167" t="n">
        <v>149.17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南亞(1303)</t>
        </is>
      </c>
      <c r="E358" s="166" t="n">
        <v>66</v>
      </c>
      <c r="F358" s="166" t="n">
        <v>20</v>
      </c>
      <c r="G358" s="166" t="n">
        <v>2045</v>
      </c>
      <c r="H358" s="166" t="n">
        <v>619</v>
      </c>
      <c r="I358" s="166" t="n">
        <v>1426</v>
      </c>
      <c r="J358" s="167" t="n">
        <v>309.88</v>
      </c>
      <c r="K358" s="167" t="n">
        <v>309.4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臻鼎-KY(4958)</t>
        </is>
      </c>
      <c r="E359" s="166" t="n">
        <v>36</v>
      </c>
      <c r="F359" s="166" t="n">
        <v>29</v>
      </c>
      <c r="G359" s="166" t="n">
        <v>2044</v>
      </c>
      <c r="H359" s="166" t="n">
        <v>1616</v>
      </c>
      <c r="I359" s="166" t="n">
        <v>428</v>
      </c>
      <c r="J359" s="167" t="n">
        <v>567.83</v>
      </c>
      <c r="K359" s="167" t="n">
        <v>557.34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華新科(2492)</t>
        </is>
      </c>
      <c r="E360" s="166" t="n">
        <v>36</v>
      </c>
      <c r="F360" s="166" t="n">
        <v>20</v>
      </c>
      <c r="G360" s="166" t="n">
        <v>1313</v>
      </c>
      <c r="H360" s="166" t="n">
        <v>740</v>
      </c>
      <c r="I360" s="166" t="n">
        <v>573</v>
      </c>
      <c r="J360" s="167" t="n">
        <v>364.72</v>
      </c>
      <c r="K360" s="167" t="n">
        <v>369.95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健策(3653)</t>
        </is>
      </c>
      <c r="E361" s="166" t="n">
        <v>2</v>
      </c>
      <c r="F361" s="166" t="n">
        <v>1</v>
      </c>
      <c r="G361" s="166" t="n">
        <v>1270</v>
      </c>
      <c r="H361" s="166" t="n">
        <v>2</v>
      </c>
      <c r="I361" s="166" t="n">
        <v>1268</v>
      </c>
      <c r="J361" s="167" t="n">
        <v>6349.5</v>
      </c>
      <c r="K361" s="167" t="n">
        <v>25</v>
      </c>
      <c r="L361" s="233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台達電(2308)</t>
        </is>
      </c>
      <c r="E362" s="166" t="n">
        <v>8</v>
      </c>
      <c r="F362" s="166" t="n">
        <v>1</v>
      </c>
      <c r="G362" s="166" t="n">
        <v>1199</v>
      </c>
      <c r="H362" s="166" t="n">
        <v>194</v>
      </c>
      <c r="I362" s="166" t="n">
        <v>1005</v>
      </c>
      <c r="J362" s="167" t="n">
        <v>1498.62</v>
      </c>
      <c r="K362" s="167" t="n">
        <v>1945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台燿(6274)</t>
        </is>
      </c>
      <c r="E363" s="166" t="n">
        <v>8</v>
      </c>
      <c r="F363" s="166" t="n">
        <v>6</v>
      </c>
      <c r="G363" s="166" t="n">
        <v>1083</v>
      </c>
      <c r="H363" s="166" t="n">
        <v>783</v>
      </c>
      <c r="I363" s="166" t="n">
        <v>300</v>
      </c>
      <c r="J363" s="167" t="n">
        <v>1353.62</v>
      </c>
      <c r="K363" s="167" t="n">
        <v>1305</v>
      </c>
      <c r="L363" s="233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16</v>
      </c>
      <c r="F365" s="173" t="n">
        <v>8</v>
      </c>
      <c r="G365" s="173" t="n">
        <v>3930</v>
      </c>
      <c r="H365" s="173" t="n">
        <v>1980</v>
      </c>
      <c r="I365" s="173" t="n">
        <v>1950</v>
      </c>
      <c r="J365" s="174" t="n">
        <v>2456.25</v>
      </c>
      <c r="K365" s="174" t="n">
        <v>2474.5</v>
      </c>
      <c r="L365" s="232">
        <f>F365*(K365-J365)</f>
        <v/>
      </c>
    </row>
    <row r="366" ht="16.5" customHeight="1">
      <c r="A366" s="175" t="n"/>
      <c r="B366" s="175" t="n"/>
      <c r="C366" s="175" t="n"/>
      <c r="D366" s="172" t="inlineStr">
        <is>
          <t>聯發科(2454)</t>
        </is>
      </c>
      <c r="E366" s="173" t="n">
        <v>9</v>
      </c>
      <c r="F366" s="173" t="n">
        <v>4</v>
      </c>
      <c r="G366" s="173" t="n">
        <v>3492</v>
      </c>
      <c r="H366" s="173" t="n">
        <v>1795</v>
      </c>
      <c r="I366" s="173" t="n">
        <v>1697</v>
      </c>
      <c r="J366" s="174" t="n">
        <v>3880.44</v>
      </c>
      <c r="K366" s="174" t="n">
        <v>4488.5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大世科(8099)</t>
        </is>
      </c>
      <c r="E367" s="173" t="n">
        <v>390</v>
      </c>
      <c r="F367" s="173" t="n">
        <v>2</v>
      </c>
      <c r="G367" s="173" t="n">
        <v>3019</v>
      </c>
      <c r="H367" s="173" t="n">
        <v>16</v>
      </c>
      <c r="I367" s="173" t="n">
        <v>3003</v>
      </c>
      <c r="J367" s="174" t="n">
        <v>77.40000000000001</v>
      </c>
      <c r="K367" s="174" t="n">
        <v>77.5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信昌電(6173)</t>
        </is>
      </c>
      <c r="E368" s="173" t="n">
        <v>92</v>
      </c>
      <c r="F368" s="173" t="n">
        <v>68</v>
      </c>
      <c r="G368" s="173" t="n">
        <v>2838</v>
      </c>
      <c r="H368" s="173" t="n">
        <v>2110</v>
      </c>
      <c r="I368" s="173" t="n">
        <v>728</v>
      </c>
      <c r="J368" s="174" t="n">
        <v>308.53</v>
      </c>
      <c r="K368" s="174" t="n">
        <v>310.34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台玻(1802)</t>
        </is>
      </c>
      <c r="E369" s="173" t="n">
        <v>382</v>
      </c>
      <c r="F369" s="173" t="n">
        <v>191</v>
      </c>
      <c r="G369" s="173" t="n">
        <v>2717</v>
      </c>
      <c r="H369" s="173" t="n">
        <v>1348</v>
      </c>
      <c r="I369" s="173" t="n">
        <v>1369</v>
      </c>
      <c r="J369" s="174" t="n">
        <v>71.12</v>
      </c>
      <c r="K369" s="174" t="n">
        <v>70.58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台燿(6274)</t>
        </is>
      </c>
      <c r="E370" s="173" t="n">
        <v>19</v>
      </c>
      <c r="F370" s="173" t="n">
        <v>11</v>
      </c>
      <c r="G370" s="173" t="n">
        <v>2661</v>
      </c>
      <c r="H370" s="173" t="n">
        <v>1548</v>
      </c>
      <c r="I370" s="173" t="n">
        <v>1113</v>
      </c>
      <c r="J370" s="174" t="n">
        <v>1400.47</v>
      </c>
      <c r="K370" s="174" t="n">
        <v>1407.45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永擎(7711)</t>
        </is>
      </c>
      <c r="E371" s="173" t="n">
        <v>39</v>
      </c>
      <c r="F371" s="173" t="n">
        <v>19</v>
      </c>
      <c r="G371" s="173" t="n">
        <v>2314</v>
      </c>
      <c r="H371" s="173" t="n">
        <v>1138</v>
      </c>
      <c r="I371" s="173" t="n">
        <v>1176</v>
      </c>
      <c r="J371" s="174" t="n">
        <v>593.28</v>
      </c>
      <c r="K371" s="174" t="n">
        <v>598.89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華新科(2492)</t>
        </is>
      </c>
      <c r="E372" s="173" t="n">
        <v>62</v>
      </c>
      <c r="F372" s="173" t="n">
        <v>47</v>
      </c>
      <c r="G372" s="173" t="n">
        <v>2292</v>
      </c>
      <c r="H372" s="173" t="n">
        <v>1720</v>
      </c>
      <c r="I372" s="173" t="n">
        <v>572</v>
      </c>
      <c r="J372" s="174" t="n">
        <v>369.74</v>
      </c>
      <c r="K372" s="174" t="n">
        <v>366.06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台達電(2308)</t>
        </is>
      </c>
      <c r="E373" s="173" t="n">
        <v>11</v>
      </c>
      <c r="F373" s="173" t="n">
        <v>6</v>
      </c>
      <c r="G373" s="173" t="n">
        <v>1689</v>
      </c>
      <c r="H373" s="173" t="n">
        <v>982</v>
      </c>
      <c r="I373" s="173" t="n">
        <v>707</v>
      </c>
      <c r="J373" s="174" t="n">
        <v>1535.73</v>
      </c>
      <c r="K373" s="174" t="n">
        <v>1637.33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精材(3374)</t>
        </is>
      </c>
      <c r="E374" s="173" t="n">
        <v>32</v>
      </c>
      <c r="F374" s="173" t="n">
        <v>7</v>
      </c>
      <c r="G374" s="173" t="n">
        <v>1548</v>
      </c>
      <c r="H374" s="173" t="n">
        <v>346</v>
      </c>
      <c r="I374" s="173" t="n">
        <v>1202</v>
      </c>
      <c r="J374" s="174" t="n">
        <v>483.91</v>
      </c>
      <c r="K374" s="174" t="n">
        <v>494.86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17</v>
      </c>
      <c r="F376" s="179" t="n">
        <v>1</v>
      </c>
      <c r="G376" s="179" t="n">
        <v>8794</v>
      </c>
      <c r="H376" s="179" t="n">
        <v>63</v>
      </c>
      <c r="I376" s="179" t="n">
        <v>8731</v>
      </c>
      <c r="J376" s="180" t="n">
        <v>5173.12</v>
      </c>
      <c r="K376" s="180" t="n">
        <v>630</v>
      </c>
      <c r="L376" s="233">
        <f>F376*(K376-J376)</f>
        <v/>
      </c>
    </row>
    <row r="377" ht="16.5" customHeight="1">
      <c r="A377" s="181" t="n"/>
      <c r="B377" s="181" t="n"/>
      <c r="C377" s="181" t="n"/>
      <c r="D377" s="178" t="inlineStr">
        <is>
          <t>富喬(1815)</t>
        </is>
      </c>
      <c r="E377" s="179" t="n">
        <v>458</v>
      </c>
      <c r="F377" s="179" t="n">
        <v>238</v>
      </c>
      <c r="G377" s="179" t="n">
        <v>6793</v>
      </c>
      <c r="H377" s="179" t="n">
        <v>3438</v>
      </c>
      <c r="I377" s="179" t="n">
        <v>3355</v>
      </c>
      <c r="J377" s="180" t="n">
        <v>148.31</v>
      </c>
      <c r="K377" s="180" t="n">
        <v>144.47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華通(2313)</t>
        </is>
      </c>
      <c r="E378" s="179" t="n">
        <v>276</v>
      </c>
      <c r="F378" s="179" t="n">
        <v>263</v>
      </c>
      <c r="G378" s="179" t="n">
        <v>6186</v>
      </c>
      <c r="H378" s="179" t="n">
        <v>5904</v>
      </c>
      <c r="I378" s="179" t="n">
        <v>282</v>
      </c>
      <c r="J378" s="180" t="n">
        <v>224.14</v>
      </c>
      <c r="K378" s="180" t="n">
        <v>224.48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南亞(1303)</t>
        </is>
      </c>
      <c r="E379" s="179" t="n">
        <v>193</v>
      </c>
      <c r="F379" s="179" t="n">
        <v>62</v>
      </c>
      <c r="G379" s="179" t="n">
        <v>5818</v>
      </c>
      <c r="H379" s="179" t="n">
        <v>1878</v>
      </c>
      <c r="I379" s="179" t="n">
        <v>3940</v>
      </c>
      <c r="J379" s="180" t="n">
        <v>301.44</v>
      </c>
      <c r="K379" s="180" t="n">
        <v>302.89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欣興(3037)</t>
        </is>
      </c>
      <c r="E380" s="179" t="n">
        <v>48</v>
      </c>
      <c r="F380" s="179" t="n">
        <v>10</v>
      </c>
      <c r="G380" s="179" t="n">
        <v>5326</v>
      </c>
      <c r="H380" s="179" t="n">
        <v>1183</v>
      </c>
      <c r="I380" s="179" t="n">
        <v>4143</v>
      </c>
      <c r="J380" s="180" t="n">
        <v>1109.56</v>
      </c>
      <c r="K380" s="180" t="n">
        <v>1183.4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台燿(6274)</t>
        </is>
      </c>
      <c r="E381" s="179" t="n">
        <v>32</v>
      </c>
      <c r="F381" s="179" t="n">
        <v>6</v>
      </c>
      <c r="G381" s="179" t="n">
        <v>4830</v>
      </c>
      <c r="H381" s="179" t="n">
        <v>854</v>
      </c>
      <c r="I381" s="179" t="n">
        <v>3976</v>
      </c>
      <c r="J381" s="180" t="n">
        <v>1509.38</v>
      </c>
      <c r="K381" s="180" t="n">
        <v>1422.67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臻鼎-KY(4958)</t>
        </is>
      </c>
      <c r="E382" s="179" t="n">
        <v>77</v>
      </c>
      <c r="F382" s="179" t="n">
        <v>57</v>
      </c>
      <c r="G382" s="179" t="n">
        <v>4562</v>
      </c>
      <c r="H382" s="179" t="n">
        <v>3243</v>
      </c>
      <c r="I382" s="179" t="n">
        <v>1319</v>
      </c>
      <c r="J382" s="180" t="n">
        <v>592.53</v>
      </c>
      <c r="K382" s="180" t="n">
        <v>568.89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聯茂(6213)</t>
        </is>
      </c>
      <c r="E383" s="179" t="n">
        <v>40</v>
      </c>
      <c r="F383" s="179" t="n">
        <v>12</v>
      </c>
      <c r="G383" s="179" t="n">
        <v>3366</v>
      </c>
      <c r="H383" s="179" t="n">
        <v>1001</v>
      </c>
      <c r="I383" s="179" t="n">
        <v>2365</v>
      </c>
      <c r="J383" s="180" t="n">
        <v>841.38</v>
      </c>
      <c r="K383" s="180" t="n">
        <v>833.92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南亞科(2408)</t>
        </is>
      </c>
      <c r="E384" s="179" t="n">
        <v>34</v>
      </c>
      <c r="F384" s="179" t="n">
        <v>1</v>
      </c>
      <c r="G384" s="179" t="n">
        <v>1407</v>
      </c>
      <c r="H384" s="179" t="n">
        <v>43</v>
      </c>
      <c r="I384" s="179" t="n">
        <v>1364</v>
      </c>
      <c r="J384" s="180" t="n">
        <v>413.91</v>
      </c>
      <c r="K384" s="180" t="n">
        <v>429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聯發科(2454)</t>
        </is>
      </c>
      <c r="E385" s="179" t="n">
        <v>3</v>
      </c>
      <c r="F385" s="179" t="n">
        <v>2</v>
      </c>
      <c r="G385" s="179" t="n">
        <v>1148</v>
      </c>
      <c r="H385" s="179" t="n">
        <v>668</v>
      </c>
      <c r="I385" s="179" t="n">
        <v>480</v>
      </c>
      <c r="J385" s="180" t="n">
        <v>3827.67</v>
      </c>
      <c r="K385" s="180" t="n">
        <v>3338</v>
      </c>
      <c r="L385" s="233">
        <f>F385*(K385-J385)</f>
        <v/>
      </c>
    </row>
    <row r="386" ht="16.5" customHeight="1">
      <c r="A386" s="182" t="n"/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A387" s="181" t="n"/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奇鋐(3017)</t>
        </is>
      </c>
      <c r="E387" s="179" t="n">
        <v>51</v>
      </c>
      <c r="F387" s="179" t="n">
        <v>1</v>
      </c>
      <c r="G387" s="179" t="n">
        <v>17034</v>
      </c>
      <c r="H387" s="179" t="n">
        <v>398</v>
      </c>
      <c r="I387" s="179" t="n">
        <v>16636</v>
      </c>
      <c r="J387" s="180" t="n">
        <v>3340</v>
      </c>
      <c r="K387" s="180" t="n">
        <v>3977</v>
      </c>
      <c r="L387" s="232">
        <f>F387*(K387-J387)</f>
        <v/>
      </c>
    </row>
    <row r="388" ht="16.5" customHeight="1">
      <c r="A388" s="181" t="n"/>
      <c r="B388" s="181" t="n"/>
      <c r="C388" s="181" t="n"/>
      <c r="D388" s="178" t="inlineStr">
        <is>
          <t>台達電(2308)</t>
        </is>
      </c>
      <c r="E388" s="179" t="n">
        <v>42</v>
      </c>
      <c r="F388" s="179" t="n">
        <v>3</v>
      </c>
      <c r="G388" s="179" t="n">
        <v>6807</v>
      </c>
      <c r="H388" s="179" t="n">
        <v>472</v>
      </c>
      <c r="I388" s="179" t="n">
        <v>6335</v>
      </c>
      <c r="J388" s="180" t="n">
        <v>1620.74</v>
      </c>
      <c r="K388" s="180" t="n">
        <v>1573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台積電(2330)</t>
        </is>
      </c>
      <c r="E389" s="179" t="n">
        <v>24</v>
      </c>
      <c r="F389" s="179" t="n">
        <v>8</v>
      </c>
      <c r="G389" s="179" t="n">
        <v>5777</v>
      </c>
      <c r="H389" s="179" t="n">
        <v>1950</v>
      </c>
      <c r="I389" s="179" t="n">
        <v>3827</v>
      </c>
      <c r="J389" s="180" t="n">
        <v>2407.25</v>
      </c>
      <c r="K389" s="180" t="n">
        <v>2437.25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華新科(2492)</t>
        </is>
      </c>
      <c r="E390" s="179" t="n">
        <v>136</v>
      </c>
      <c r="F390" s="179" t="n">
        <v>107</v>
      </c>
      <c r="G390" s="179" t="n">
        <v>4989</v>
      </c>
      <c r="H390" s="179" t="n">
        <v>3944</v>
      </c>
      <c r="I390" s="179" t="n">
        <v>1045</v>
      </c>
      <c r="J390" s="180" t="n">
        <v>366.86</v>
      </c>
      <c r="K390" s="180" t="n">
        <v>368.61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聯發科(2454)</t>
        </is>
      </c>
      <c r="E391" s="179" t="n">
        <v>11</v>
      </c>
      <c r="F391" s="179" t="n">
        <v>9</v>
      </c>
      <c r="G391" s="179" t="n">
        <v>4323</v>
      </c>
      <c r="H391" s="179" t="n">
        <v>3413</v>
      </c>
      <c r="I391" s="179" t="n">
        <v>910</v>
      </c>
      <c r="J391" s="180" t="n">
        <v>3930.27</v>
      </c>
      <c r="K391" s="180" t="n">
        <v>3791.89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日月光投控(3711)</t>
        </is>
      </c>
      <c r="E392" s="179" t="n">
        <v>57</v>
      </c>
      <c r="F392" s="179" t="n">
        <v>2</v>
      </c>
      <c r="G392" s="179" t="n">
        <v>3814</v>
      </c>
      <c r="H392" s="179" t="n">
        <v>143</v>
      </c>
      <c r="I392" s="179" t="n">
        <v>3671</v>
      </c>
      <c r="J392" s="180" t="n">
        <v>669.05</v>
      </c>
      <c r="K392" s="180" t="n">
        <v>715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南亞(1303)</t>
        </is>
      </c>
      <c r="E393" s="179" t="n">
        <v>117</v>
      </c>
      <c r="F393" s="179" t="n">
        <v>93</v>
      </c>
      <c r="G393" s="179" t="n">
        <v>3524</v>
      </c>
      <c r="H393" s="179" t="n">
        <v>2810</v>
      </c>
      <c r="I393" s="179" t="n">
        <v>714</v>
      </c>
      <c r="J393" s="180" t="n">
        <v>301.15</v>
      </c>
      <c r="K393" s="180" t="n">
        <v>302.15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欣銓(3264)</t>
        </is>
      </c>
      <c r="E394" s="179" t="n">
        <v>97</v>
      </c>
      <c r="F394" s="179" t="n">
        <v>82</v>
      </c>
      <c r="G394" s="179" t="n">
        <v>2399</v>
      </c>
      <c r="H394" s="179" t="n">
        <v>2032</v>
      </c>
      <c r="I394" s="179" t="n">
        <v>367</v>
      </c>
      <c r="J394" s="180" t="n">
        <v>247.36</v>
      </c>
      <c r="K394" s="180" t="n">
        <v>247.82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台化(1326)</t>
        </is>
      </c>
      <c r="E395" s="179" t="n">
        <v>313</v>
      </c>
      <c r="F395" s="179" t="n">
        <v>73</v>
      </c>
      <c r="G395" s="179" t="n">
        <v>2320</v>
      </c>
      <c r="H395" s="179" t="n">
        <v>541</v>
      </c>
      <c r="I395" s="179" t="n">
        <v>1779</v>
      </c>
      <c r="J395" s="180" t="n">
        <v>74.12</v>
      </c>
      <c r="K395" s="180" t="n">
        <v>74.14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台塑(1301)</t>
        </is>
      </c>
      <c r="E396" s="179" t="n">
        <v>293</v>
      </c>
      <c r="F396" s="179" t="n">
        <v>58</v>
      </c>
      <c r="G396" s="179" t="n">
        <v>2179</v>
      </c>
      <c r="H396" s="179" t="n">
        <v>435</v>
      </c>
      <c r="I396" s="179" t="n">
        <v>1744</v>
      </c>
      <c r="J396" s="180" t="n">
        <v>74.38</v>
      </c>
      <c r="K396" s="180" t="n">
        <v>75.06999999999999</v>
      </c>
      <c r="L396" s="232">
        <f>F396*(K396-J396)</f>
        <v/>
      </c>
    </row>
    <row r="397" ht="16.5" customHeight="1">
      <c r="A397" s="182" t="n"/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A398" s="181" t="n"/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國巨*(2327)</t>
        </is>
      </c>
      <c r="E398" s="179" t="n">
        <v>79</v>
      </c>
      <c r="F398" s="179" t="n">
        <v>27</v>
      </c>
      <c r="G398" s="179" t="n">
        <v>4160</v>
      </c>
      <c r="H398" s="179" t="n">
        <v>1387</v>
      </c>
      <c r="I398" s="179" t="n">
        <v>2773</v>
      </c>
      <c r="J398" s="180" t="n">
        <v>526.65</v>
      </c>
      <c r="K398" s="180" t="n">
        <v>513.74</v>
      </c>
      <c r="L398" s="233">
        <f>F398*(K398-J398)</f>
        <v/>
      </c>
    </row>
    <row r="399" ht="16.5" customHeight="1">
      <c r="A399" s="181" t="n"/>
      <c r="B399" s="181" t="n"/>
      <c r="C399" s="181" t="n"/>
      <c r="D399" s="178" t="inlineStr">
        <is>
          <t>台積電(2330)</t>
        </is>
      </c>
      <c r="E399" s="179" t="n">
        <v>11</v>
      </c>
      <c r="F399" s="179" t="n">
        <v>2</v>
      </c>
      <c r="G399" s="179" t="n">
        <v>2660</v>
      </c>
      <c r="H399" s="179" t="n">
        <v>574</v>
      </c>
      <c r="I399" s="179" t="n">
        <v>2086</v>
      </c>
      <c r="J399" s="180" t="n">
        <v>2418.45</v>
      </c>
      <c r="K399" s="180" t="n">
        <v>2872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臻鼎-KY(4958)</t>
        </is>
      </c>
      <c r="E400" s="179" t="n">
        <v>44</v>
      </c>
      <c r="F400" s="179" t="n">
        <v>29</v>
      </c>
      <c r="G400" s="179" t="n">
        <v>2504</v>
      </c>
      <c r="H400" s="179" t="n">
        <v>1660</v>
      </c>
      <c r="I400" s="179" t="n">
        <v>844</v>
      </c>
      <c r="J400" s="180" t="n">
        <v>569.0700000000001</v>
      </c>
      <c r="K400" s="180" t="n">
        <v>572.55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今國光(6209)</t>
        </is>
      </c>
      <c r="E401" s="179" t="n">
        <v>237</v>
      </c>
      <c r="F401" s="179" t="n">
        <v>18</v>
      </c>
      <c r="G401" s="179" t="n">
        <v>2479</v>
      </c>
      <c r="H401" s="179" t="n">
        <v>190</v>
      </c>
      <c r="I401" s="179" t="n">
        <v>2289</v>
      </c>
      <c r="J401" s="180" t="n">
        <v>104.59</v>
      </c>
      <c r="K401" s="180" t="n">
        <v>105.78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南亞(1303)</t>
        </is>
      </c>
      <c r="E402" s="179" t="n">
        <v>63</v>
      </c>
      <c r="F402" s="179" t="n">
        <v>18</v>
      </c>
      <c r="G402" s="179" t="n">
        <v>1973</v>
      </c>
      <c r="H402" s="179" t="n">
        <v>554</v>
      </c>
      <c r="I402" s="179" t="n">
        <v>1419</v>
      </c>
      <c r="J402" s="180" t="n">
        <v>313.21</v>
      </c>
      <c r="K402" s="180" t="n">
        <v>307.61</v>
      </c>
      <c r="L402" s="233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華新科(2492)</t>
        </is>
      </c>
      <c r="E403" s="179" t="n">
        <v>53</v>
      </c>
      <c r="F403" s="179" t="n">
        <v>34</v>
      </c>
      <c r="G403" s="179" t="n">
        <v>1943</v>
      </c>
      <c r="H403" s="179" t="n">
        <v>1257</v>
      </c>
      <c r="I403" s="179" t="n">
        <v>686</v>
      </c>
      <c r="J403" s="180" t="n">
        <v>366.66</v>
      </c>
      <c r="K403" s="180" t="n">
        <v>369.65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聯茂(6213)</t>
        </is>
      </c>
      <c r="E404" s="179" t="n">
        <v>23</v>
      </c>
      <c r="F404" s="179" t="n">
        <v>18</v>
      </c>
      <c r="G404" s="179" t="n">
        <v>1806</v>
      </c>
      <c r="H404" s="179" t="n">
        <v>1395</v>
      </c>
      <c r="I404" s="179" t="n">
        <v>411</v>
      </c>
      <c r="J404" s="180" t="n">
        <v>785.09</v>
      </c>
      <c r="K404" s="180" t="n">
        <v>775.11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聯電(2303)</t>
        </is>
      </c>
      <c r="E405" s="179" t="n">
        <v>123</v>
      </c>
      <c r="F405" s="179" t="n">
        <v>12</v>
      </c>
      <c r="G405" s="179" t="n">
        <v>1555</v>
      </c>
      <c r="H405" s="179" t="n">
        <v>153</v>
      </c>
      <c r="I405" s="179" t="n">
        <v>1402</v>
      </c>
      <c r="J405" s="180" t="n">
        <v>126.44</v>
      </c>
      <c r="K405" s="180" t="n">
        <v>127.33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台燿(6274)</t>
        </is>
      </c>
      <c r="E406" s="179" t="n">
        <v>9</v>
      </c>
      <c r="F406" s="179" t="n">
        <v>6</v>
      </c>
      <c r="G406" s="179" t="n">
        <v>1224</v>
      </c>
      <c r="H406" s="179" t="n">
        <v>860</v>
      </c>
      <c r="I406" s="179" t="n">
        <v>364</v>
      </c>
      <c r="J406" s="180" t="n">
        <v>1359.89</v>
      </c>
      <c r="K406" s="180" t="n">
        <v>1433.83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康普(4739)</t>
        </is>
      </c>
      <c r="E407" s="179" t="n">
        <v>140</v>
      </c>
      <c r="F407" s="179" t="n">
        <v>0</v>
      </c>
      <c r="G407" s="179" t="n">
        <v>1132</v>
      </c>
      <c r="H407" s="179" t="n">
        <v>0</v>
      </c>
      <c r="I407" s="179" t="n">
        <v>1132</v>
      </c>
      <c r="J407" s="180" t="n">
        <v>80.84999999999999</v>
      </c>
      <c r="K407" s="180" t="n">
        <v>0</v>
      </c>
      <c r="L407" s="232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309" t="inlineStr">
        <is>
          <t>華經(2468)</t>
        </is>
      </c>
      <c r="E409" s="310" t="n">
        <v>4972</v>
      </c>
      <c r="F409" s="310" t="n">
        <v>3164</v>
      </c>
      <c r="G409" s="310" t="n">
        <v>27312</v>
      </c>
      <c r="H409" s="310" t="n">
        <v>17399</v>
      </c>
      <c r="I409" s="310" t="n">
        <v>9913</v>
      </c>
      <c r="J409" s="311" t="n">
        <v>54.93</v>
      </c>
      <c r="K409" s="311" t="n">
        <v>54.99</v>
      </c>
      <c r="L409" s="312">
        <f>F409*(K409-J409)</f>
        <v/>
      </c>
    </row>
    <row r="410" ht="16.5" customHeight="1">
      <c r="A410" s="188" t="n"/>
      <c r="B410" s="188" t="n"/>
      <c r="C410" s="188" t="n"/>
      <c r="D410" s="190" t="inlineStr">
        <is>
          <t>⚪ 今日漲停僅 1 檔</t>
        </is>
      </c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A411" s="188" t="n"/>
      <c r="B411" s="188" t="n"/>
      <c r="C411" s="188" t="n"/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A412" s="188" t="n"/>
      <c r="B412" s="188" t="n"/>
      <c r="C412" s="188" t="n"/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A413" s="188" t="n"/>
      <c r="B413" s="188" t="n"/>
      <c r="C413" s="188" t="n"/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A414" s="188" t="n"/>
      <c r="B414" s="188" t="n"/>
      <c r="C414" s="188" t="n"/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9" t="n"/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A420" s="188" t="n"/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A421" s="188" t="n"/>
      <c r="B421" s="188" t="n"/>
      <c r="C421" s="188" t="n"/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9" t="n"/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A431" s="188" t="n"/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A432" s="188" t="n"/>
      <c r="B432" s="188" t="n"/>
      <c r="C432" s="188" t="n"/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46</v>
      </c>
      <c r="F442" s="195" t="n">
        <v>25</v>
      </c>
      <c r="G442" s="195" t="n">
        <v>10908</v>
      </c>
      <c r="H442" s="195" t="n">
        <v>6023</v>
      </c>
      <c r="I442" s="195" t="n">
        <v>4885</v>
      </c>
      <c r="J442" s="196" t="n">
        <v>2371.24</v>
      </c>
      <c r="K442" s="196" t="n">
        <v>2409.28</v>
      </c>
      <c r="L442" s="232">
        <f>F442*(K442-J442)</f>
        <v/>
      </c>
    </row>
    <row r="443" ht="16.5" customHeight="1">
      <c r="A443" s="197" t="n"/>
      <c r="B443" s="197" t="n"/>
      <c r="C443" s="197" t="n"/>
      <c r="D443" s="194" t="inlineStr">
        <is>
          <t>華新科(2492)</t>
        </is>
      </c>
      <c r="E443" s="195" t="n">
        <v>208</v>
      </c>
      <c r="F443" s="195" t="n">
        <v>183</v>
      </c>
      <c r="G443" s="195" t="n">
        <v>7652</v>
      </c>
      <c r="H443" s="195" t="n">
        <v>6750</v>
      </c>
      <c r="I443" s="195" t="n">
        <v>902</v>
      </c>
      <c r="J443" s="196" t="n">
        <v>367.86</v>
      </c>
      <c r="K443" s="196" t="n">
        <v>368.85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國巨*(2327)</t>
        </is>
      </c>
      <c r="E444" s="195" t="n">
        <v>116</v>
      </c>
      <c r="F444" s="195" t="n">
        <v>82</v>
      </c>
      <c r="G444" s="195" t="n">
        <v>5891</v>
      </c>
      <c r="H444" s="195" t="n">
        <v>4145</v>
      </c>
      <c r="I444" s="195" t="n">
        <v>1746</v>
      </c>
      <c r="J444" s="196" t="n">
        <v>507.87</v>
      </c>
      <c r="K444" s="196" t="n">
        <v>505.49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聯茂(6213)</t>
        </is>
      </c>
      <c r="E445" s="195" t="n">
        <v>66</v>
      </c>
      <c r="F445" s="195" t="n">
        <v>48</v>
      </c>
      <c r="G445" s="195" t="n">
        <v>5098</v>
      </c>
      <c r="H445" s="195" t="n">
        <v>3750</v>
      </c>
      <c r="I445" s="195" t="n">
        <v>1348</v>
      </c>
      <c r="J445" s="196" t="n">
        <v>772.35</v>
      </c>
      <c r="K445" s="196" t="n">
        <v>781.27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台達電(2308)</t>
        </is>
      </c>
      <c r="E446" s="195" t="n">
        <v>30</v>
      </c>
      <c r="F446" s="195" t="n">
        <v>13</v>
      </c>
      <c r="G446" s="195" t="n">
        <v>4703</v>
      </c>
      <c r="H446" s="195" t="n">
        <v>1976</v>
      </c>
      <c r="I446" s="195" t="n">
        <v>2727</v>
      </c>
      <c r="J446" s="196" t="n">
        <v>1567.57</v>
      </c>
      <c r="K446" s="196" t="n">
        <v>1520.08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創意(3443)</t>
        </is>
      </c>
      <c r="E447" s="195" t="n">
        <v>6</v>
      </c>
      <c r="F447" s="195" t="n">
        <v>1</v>
      </c>
      <c r="G447" s="195" t="n">
        <v>4699</v>
      </c>
      <c r="H447" s="195" t="n">
        <v>8</v>
      </c>
      <c r="I447" s="195" t="n">
        <v>4691</v>
      </c>
      <c r="J447" s="196" t="n">
        <v>7831.83</v>
      </c>
      <c r="K447" s="196" t="n">
        <v>80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南亞(1303)</t>
        </is>
      </c>
      <c r="E448" s="195" t="n">
        <v>154</v>
      </c>
      <c r="F448" s="195" t="n">
        <v>127</v>
      </c>
      <c r="G448" s="195" t="n">
        <v>4647</v>
      </c>
      <c r="H448" s="195" t="n">
        <v>3812</v>
      </c>
      <c r="I448" s="195" t="n">
        <v>835</v>
      </c>
      <c r="J448" s="196" t="n">
        <v>301.73</v>
      </c>
      <c r="K448" s="196" t="n">
        <v>300.13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臻鼎-KY(4958)</t>
        </is>
      </c>
      <c r="E449" s="195" t="n">
        <v>72</v>
      </c>
      <c r="F449" s="195" t="n">
        <v>53</v>
      </c>
      <c r="G449" s="195" t="n">
        <v>4087</v>
      </c>
      <c r="H449" s="195" t="n">
        <v>2985</v>
      </c>
      <c r="I449" s="195" t="n">
        <v>1102</v>
      </c>
      <c r="J449" s="196" t="n">
        <v>567.6799999999999</v>
      </c>
      <c r="K449" s="196" t="n">
        <v>563.13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欣興(3037)</t>
        </is>
      </c>
      <c r="E450" s="195" t="n">
        <v>36</v>
      </c>
      <c r="F450" s="195" t="n">
        <v>22</v>
      </c>
      <c r="G450" s="195" t="n">
        <v>3883</v>
      </c>
      <c r="H450" s="195" t="n">
        <v>2434</v>
      </c>
      <c r="I450" s="195" t="n">
        <v>1449</v>
      </c>
      <c r="J450" s="196" t="n">
        <v>1078.61</v>
      </c>
      <c r="K450" s="196" t="n">
        <v>1106.32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聯發科(2454)</t>
        </is>
      </c>
      <c r="E451" s="195" t="n">
        <v>9</v>
      </c>
      <c r="F451" s="195" t="n">
        <v>5</v>
      </c>
      <c r="G451" s="195" t="n">
        <v>3750</v>
      </c>
      <c r="H451" s="195" t="n">
        <v>2032</v>
      </c>
      <c r="I451" s="195" t="n">
        <v>1718</v>
      </c>
      <c r="J451" s="196" t="n">
        <v>4166.78</v>
      </c>
      <c r="K451" s="196" t="n">
        <v>4063.8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騰輝電子-KY(6672)</t>
        </is>
      </c>
      <c r="E452" s="195" t="n">
        <v>64</v>
      </c>
      <c r="F452" s="195" t="n">
        <v>23</v>
      </c>
      <c r="G452" s="195" t="n">
        <v>3720</v>
      </c>
      <c r="H452" s="195" t="n">
        <v>1346</v>
      </c>
      <c r="I452" s="195" t="n">
        <v>2374</v>
      </c>
      <c r="J452" s="196" t="n">
        <v>581.3099999999999</v>
      </c>
      <c r="K452" s="196" t="n">
        <v>585.04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大立光(3008)</t>
        </is>
      </c>
      <c r="E453" s="195" t="n">
        <v>5</v>
      </c>
      <c r="F453" s="195" t="n">
        <v>3</v>
      </c>
      <c r="G453" s="195" t="n">
        <v>3128</v>
      </c>
      <c r="H453" s="195" t="n">
        <v>1921</v>
      </c>
      <c r="I453" s="195" t="n">
        <v>1207</v>
      </c>
      <c r="J453" s="196" t="n">
        <v>6255.6</v>
      </c>
      <c r="K453" s="196" t="n">
        <v>6402.67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京元電子(2449)</t>
        </is>
      </c>
      <c r="E454" s="195" t="n">
        <v>102</v>
      </c>
      <c r="F454" s="195" t="n">
        <v>27</v>
      </c>
      <c r="G454" s="195" t="n">
        <v>2766</v>
      </c>
      <c r="H454" s="195" t="n">
        <v>732</v>
      </c>
      <c r="I454" s="195" t="n">
        <v>2034</v>
      </c>
      <c r="J454" s="196" t="n">
        <v>271.21</v>
      </c>
      <c r="K454" s="196" t="n">
        <v>271.11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聯電(2303)</t>
        </is>
      </c>
      <c r="E455" s="195" t="n">
        <v>216</v>
      </c>
      <c r="F455" s="195" t="n">
        <v>108</v>
      </c>
      <c r="G455" s="195" t="n">
        <v>2743</v>
      </c>
      <c r="H455" s="195" t="n">
        <v>1366</v>
      </c>
      <c r="I455" s="195" t="n">
        <v>1377</v>
      </c>
      <c r="J455" s="196" t="n">
        <v>127</v>
      </c>
      <c r="K455" s="196" t="n">
        <v>126.51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日月光投控(3711)</t>
        </is>
      </c>
      <c r="E456" s="195" t="n">
        <v>42</v>
      </c>
      <c r="F456" s="195" t="n">
        <v>15</v>
      </c>
      <c r="G456" s="195" t="n">
        <v>2741</v>
      </c>
      <c r="H456" s="195" t="n">
        <v>973</v>
      </c>
      <c r="I456" s="195" t="n">
        <v>1768</v>
      </c>
      <c r="J456" s="196" t="n">
        <v>652.55</v>
      </c>
      <c r="K456" s="196" t="n">
        <v>648.47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南亞科(2408)</t>
        </is>
      </c>
      <c r="E457" s="195" t="n">
        <v>55</v>
      </c>
      <c r="F457" s="195" t="n">
        <v>11</v>
      </c>
      <c r="G457" s="195" t="n">
        <v>2364</v>
      </c>
      <c r="H457" s="195" t="n">
        <v>470</v>
      </c>
      <c r="I457" s="195" t="n">
        <v>1894</v>
      </c>
      <c r="J457" s="196" t="n">
        <v>429.84</v>
      </c>
      <c r="K457" s="196" t="n">
        <v>427.73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金居(8358)</t>
        </is>
      </c>
      <c r="E458" s="195" t="n">
        <v>53</v>
      </c>
      <c r="F458" s="195" t="n">
        <v>23</v>
      </c>
      <c r="G458" s="195" t="n">
        <v>2335</v>
      </c>
      <c r="H458" s="195" t="n">
        <v>1008</v>
      </c>
      <c r="I458" s="195" t="n">
        <v>1327</v>
      </c>
      <c r="J458" s="196" t="n">
        <v>440.58</v>
      </c>
      <c r="K458" s="196" t="n">
        <v>438.13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友達(2409)</t>
        </is>
      </c>
      <c r="E459" s="195" t="n">
        <v>611</v>
      </c>
      <c r="F459" s="195" t="n">
        <v>545</v>
      </c>
      <c r="G459" s="195" t="n">
        <v>2163</v>
      </c>
      <c r="H459" s="195" t="n">
        <v>1929</v>
      </c>
      <c r="I459" s="195" t="n">
        <v>234</v>
      </c>
      <c r="J459" s="196" t="n">
        <v>35.4</v>
      </c>
      <c r="K459" s="196" t="n">
        <v>35.4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環球晶(6488)</t>
        </is>
      </c>
      <c r="E460" s="195" t="n">
        <v>23</v>
      </c>
      <c r="F460" s="195" t="n">
        <v>10</v>
      </c>
      <c r="G460" s="195" t="n">
        <v>1896</v>
      </c>
      <c r="H460" s="195" t="n">
        <v>860</v>
      </c>
      <c r="I460" s="195" t="n">
        <v>1036</v>
      </c>
      <c r="J460" s="196" t="n">
        <v>824.5700000000001</v>
      </c>
      <c r="K460" s="196" t="n">
        <v>860.2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聯亞(3081)</t>
        </is>
      </c>
      <c r="E461" s="195" t="n">
        <v>8</v>
      </c>
      <c r="F461" s="195" t="n">
        <v>4</v>
      </c>
      <c r="G461" s="195" t="n">
        <v>1803</v>
      </c>
      <c r="H461" s="195" t="n">
        <v>1058</v>
      </c>
      <c r="I461" s="195" t="n">
        <v>745</v>
      </c>
      <c r="J461" s="196" t="n">
        <v>2253.75</v>
      </c>
      <c r="K461" s="196" t="n">
        <v>2644.75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台積電(2330)</t>
        </is>
      </c>
      <c r="E463" s="201" t="n">
        <v>41</v>
      </c>
      <c r="F463" s="201" t="n">
        <v>3</v>
      </c>
      <c r="G463" s="201" t="n">
        <v>9773</v>
      </c>
      <c r="H463" s="201" t="n">
        <v>698</v>
      </c>
      <c r="I463" s="201" t="n">
        <v>9075</v>
      </c>
      <c r="J463" s="202" t="n">
        <v>2383.66</v>
      </c>
      <c r="K463" s="202" t="n">
        <v>2325.33</v>
      </c>
      <c r="L463" s="233">
        <f>F463*(K463-J463)</f>
        <v/>
      </c>
    </row>
    <row r="464" ht="16.5" customHeight="1">
      <c r="A464" s="203" t="n"/>
      <c r="B464" s="203" t="n"/>
      <c r="C464" s="203" t="n"/>
      <c r="D464" s="200" t="inlineStr">
        <is>
          <t>臻鼎-KY(4958)</t>
        </is>
      </c>
      <c r="E464" s="201" t="n">
        <v>84</v>
      </c>
      <c r="F464" s="201" t="n">
        <v>41</v>
      </c>
      <c r="G464" s="201" t="n">
        <v>4955</v>
      </c>
      <c r="H464" s="201" t="n">
        <v>2409</v>
      </c>
      <c r="I464" s="201" t="n">
        <v>2546</v>
      </c>
      <c r="J464" s="202" t="n">
        <v>589.9</v>
      </c>
      <c r="K464" s="202" t="n">
        <v>587.66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定穎投控(3715)</t>
        </is>
      </c>
      <c r="E465" s="201" t="n">
        <v>299</v>
      </c>
      <c r="F465" s="201" t="n">
        <v>215</v>
      </c>
      <c r="G465" s="201" t="n">
        <v>4171</v>
      </c>
      <c r="H465" s="201" t="n">
        <v>3061</v>
      </c>
      <c r="I465" s="201" t="n">
        <v>1110</v>
      </c>
      <c r="J465" s="202" t="n">
        <v>139.5</v>
      </c>
      <c r="K465" s="202" t="n">
        <v>142.37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榮科(4989)</t>
        </is>
      </c>
      <c r="E466" s="201" t="n">
        <v>329</v>
      </c>
      <c r="F466" s="201" t="n">
        <v>226</v>
      </c>
      <c r="G466" s="201" t="n">
        <v>2357</v>
      </c>
      <c r="H466" s="201" t="n">
        <v>1644</v>
      </c>
      <c r="I466" s="201" t="n">
        <v>713</v>
      </c>
      <c r="J466" s="202" t="n">
        <v>71.64</v>
      </c>
      <c r="K466" s="202" t="n">
        <v>72.73999999999999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景碩(3189)</t>
        </is>
      </c>
      <c r="E467" s="201" t="n">
        <v>23</v>
      </c>
      <c r="F467" s="201" t="n">
        <v>19</v>
      </c>
      <c r="G467" s="201" t="n">
        <v>2232</v>
      </c>
      <c r="H467" s="201" t="n">
        <v>1834</v>
      </c>
      <c r="I467" s="201" t="n">
        <v>398</v>
      </c>
      <c r="J467" s="202" t="n">
        <v>970.48</v>
      </c>
      <c r="K467" s="202" t="n">
        <v>965.11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聯發科(2454)</t>
        </is>
      </c>
      <c r="E468" s="201" t="n">
        <v>5</v>
      </c>
      <c r="F468" s="201" t="n">
        <v>2</v>
      </c>
      <c r="G468" s="201" t="n">
        <v>1998</v>
      </c>
      <c r="H468" s="201" t="n">
        <v>687</v>
      </c>
      <c r="I468" s="201" t="n">
        <v>1311</v>
      </c>
      <c r="J468" s="202" t="n">
        <v>3996.2</v>
      </c>
      <c r="K468" s="202" t="n">
        <v>3435.5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南亞(1303)</t>
        </is>
      </c>
      <c r="E469" s="201" t="n">
        <v>66</v>
      </c>
      <c r="F469" s="201" t="n">
        <v>25</v>
      </c>
      <c r="G469" s="201" t="n">
        <v>1990</v>
      </c>
      <c r="H469" s="201" t="n">
        <v>742</v>
      </c>
      <c r="I469" s="201" t="n">
        <v>1248</v>
      </c>
      <c r="J469" s="202" t="n">
        <v>301.44</v>
      </c>
      <c r="K469" s="202" t="n">
        <v>296.76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和益(1709)</t>
        </is>
      </c>
      <c r="E470" s="201" t="n">
        <v>305</v>
      </c>
      <c r="F470" s="201" t="n">
        <v>99</v>
      </c>
      <c r="G470" s="201" t="n">
        <v>1706</v>
      </c>
      <c r="H470" s="201" t="n">
        <v>562</v>
      </c>
      <c r="I470" s="201" t="n">
        <v>1144</v>
      </c>
      <c r="J470" s="202" t="n">
        <v>55.93</v>
      </c>
      <c r="K470" s="202" t="n">
        <v>56.8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聯茂(6213)</t>
        </is>
      </c>
      <c r="E471" s="201" t="n">
        <v>20</v>
      </c>
      <c r="F471" s="201" t="n">
        <v>14</v>
      </c>
      <c r="G471" s="201" t="n">
        <v>1555</v>
      </c>
      <c r="H471" s="201" t="n">
        <v>1056</v>
      </c>
      <c r="I471" s="201" t="n">
        <v>499</v>
      </c>
      <c r="J471" s="202" t="n">
        <v>777.35</v>
      </c>
      <c r="K471" s="202" t="n">
        <v>754.64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國巨*(2327)</t>
        </is>
      </c>
      <c r="E472" s="201" t="n">
        <v>28</v>
      </c>
      <c r="F472" s="201" t="n">
        <v>13</v>
      </c>
      <c r="G472" s="201" t="n">
        <v>1404</v>
      </c>
      <c r="H472" s="201" t="n">
        <v>679</v>
      </c>
      <c r="I472" s="201" t="n">
        <v>725</v>
      </c>
      <c r="J472" s="202" t="n">
        <v>501.32</v>
      </c>
      <c r="K472" s="202" t="n">
        <v>522.62</v>
      </c>
      <c r="L472" s="232">
        <f>F472*(K472-J472)</f>
        <v/>
      </c>
    </row>
    <row r="473" ht="16.5" customHeight="1">
      <c r="A473" s="204" t="n"/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A474" s="203" t="n"/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73</v>
      </c>
      <c r="F474" s="201" t="n">
        <v>63</v>
      </c>
      <c r="G474" s="201" t="n">
        <v>17316</v>
      </c>
      <c r="H474" s="201" t="n">
        <v>14912</v>
      </c>
      <c r="I474" s="201" t="n">
        <v>2404</v>
      </c>
      <c r="J474" s="202" t="n">
        <v>2372</v>
      </c>
      <c r="K474" s="202" t="n">
        <v>2367.02</v>
      </c>
      <c r="L474" s="233">
        <f>F474*(K474-J474)</f>
        <v/>
      </c>
    </row>
    <row r="475" ht="16.5" customHeight="1">
      <c r="A475" s="203" t="n"/>
      <c r="B475" s="203" t="n"/>
      <c r="C475" s="203" t="n"/>
      <c r="D475" s="200" t="inlineStr">
        <is>
          <t>國巨*(2327)</t>
        </is>
      </c>
      <c r="E475" s="201" t="n">
        <v>147</v>
      </c>
      <c r="F475" s="201" t="n">
        <v>63</v>
      </c>
      <c r="G475" s="201" t="n">
        <v>7684</v>
      </c>
      <c r="H475" s="201" t="n">
        <v>3362</v>
      </c>
      <c r="I475" s="201" t="n">
        <v>4322</v>
      </c>
      <c r="J475" s="202" t="n">
        <v>522.6900000000001</v>
      </c>
      <c r="K475" s="202" t="n">
        <v>533.73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富喬(1815)</t>
        </is>
      </c>
      <c r="E476" s="201" t="n">
        <v>464</v>
      </c>
      <c r="F476" s="201" t="n">
        <v>106</v>
      </c>
      <c r="G476" s="201" t="n">
        <v>6977</v>
      </c>
      <c r="H476" s="201" t="n">
        <v>1526</v>
      </c>
      <c r="I476" s="201" t="n">
        <v>5451</v>
      </c>
      <c r="J476" s="202" t="n">
        <v>150.37</v>
      </c>
      <c r="K476" s="202" t="n">
        <v>143.94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聯發科(2454)</t>
        </is>
      </c>
      <c r="E477" s="201" t="n">
        <v>16</v>
      </c>
      <c r="F477" s="201" t="n">
        <v>7</v>
      </c>
      <c r="G477" s="201" t="n">
        <v>6264</v>
      </c>
      <c r="H477" s="201" t="n">
        <v>2938</v>
      </c>
      <c r="I477" s="201" t="n">
        <v>3326</v>
      </c>
      <c r="J477" s="202" t="n">
        <v>3914.75</v>
      </c>
      <c r="K477" s="202" t="n">
        <v>4197.43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南亞(1303)</t>
        </is>
      </c>
      <c r="E478" s="201" t="n">
        <v>189</v>
      </c>
      <c r="F478" s="201" t="n">
        <v>102</v>
      </c>
      <c r="G478" s="201" t="n">
        <v>5884</v>
      </c>
      <c r="H478" s="201" t="n">
        <v>3154</v>
      </c>
      <c r="I478" s="201" t="n">
        <v>2730</v>
      </c>
      <c r="J478" s="202" t="n">
        <v>311.32</v>
      </c>
      <c r="K478" s="202" t="n">
        <v>309.23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台達電(2308)</t>
        </is>
      </c>
      <c r="E479" s="201" t="n">
        <v>37</v>
      </c>
      <c r="F479" s="201" t="n">
        <v>14</v>
      </c>
      <c r="G479" s="201" t="n">
        <v>5726</v>
      </c>
      <c r="H479" s="201" t="n">
        <v>2127</v>
      </c>
      <c r="I479" s="201" t="n">
        <v>3599</v>
      </c>
      <c r="J479" s="202" t="n">
        <v>1547.68</v>
      </c>
      <c r="K479" s="202" t="n">
        <v>1519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台泥(1101)</t>
        </is>
      </c>
      <c r="E480" s="201" t="n">
        <v>1834</v>
      </c>
      <c r="F480" s="201" t="n">
        <v>598</v>
      </c>
      <c r="G480" s="201" t="n">
        <v>5078</v>
      </c>
      <c r="H480" s="201" t="n">
        <v>1657</v>
      </c>
      <c r="I480" s="201" t="n">
        <v>3421</v>
      </c>
      <c r="J480" s="202" t="n">
        <v>27.69</v>
      </c>
      <c r="K480" s="202" t="n">
        <v>27.71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臻鼎-KY(4958)</t>
        </is>
      </c>
      <c r="E481" s="201" t="n">
        <v>74</v>
      </c>
      <c r="F481" s="201" t="n">
        <v>58</v>
      </c>
      <c r="G481" s="201" t="n">
        <v>4201</v>
      </c>
      <c r="H481" s="201" t="n">
        <v>3280</v>
      </c>
      <c r="I481" s="201" t="n">
        <v>921</v>
      </c>
      <c r="J481" s="202" t="n">
        <v>567.74</v>
      </c>
      <c r="K481" s="202" t="n">
        <v>565.45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華新科(2492)</t>
        </is>
      </c>
      <c r="E482" s="201" t="n">
        <v>109</v>
      </c>
      <c r="F482" s="201" t="n">
        <v>78</v>
      </c>
      <c r="G482" s="201" t="n">
        <v>4007</v>
      </c>
      <c r="H482" s="201" t="n">
        <v>2864</v>
      </c>
      <c r="I482" s="201" t="n">
        <v>1143</v>
      </c>
      <c r="J482" s="202" t="n">
        <v>367.62</v>
      </c>
      <c r="K482" s="202" t="n">
        <v>367.14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定穎投控(3715)</t>
        </is>
      </c>
      <c r="E483" s="201" t="n">
        <v>277</v>
      </c>
      <c r="F483" s="201" t="n">
        <v>16</v>
      </c>
      <c r="G483" s="201" t="n">
        <v>3775</v>
      </c>
      <c r="H483" s="201" t="n">
        <v>228</v>
      </c>
      <c r="I483" s="201" t="n">
        <v>3547</v>
      </c>
      <c r="J483" s="202" t="n">
        <v>136.29</v>
      </c>
      <c r="K483" s="202" t="n">
        <v>142.69</v>
      </c>
      <c r="L483" s="232">
        <f>F483*(K483-J483)</f>
        <v/>
      </c>
    </row>
    <row r="484" ht="16.5" customHeight="1">
      <c r="A484" s="205" t="inlineStr">
        <is>
          <t>ⓘ histock top-buyer 資料 fetched @ 2026-10-23 19:46 | 1/1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2026-10-23T19:46:12Z</dcterms:modified>
</cp:coreProperties>
</file>