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8" sheetId="6" state="visible" r:id="rId6"/>
    <sheet name="20260827" sheetId="7" state="visible" r:id="rId7"/>
    <sheet name="20260826" sheetId="8" state="visible" r:id="rId8"/>
    <sheet name="20260825" sheetId="9" state="visible" r:id="rId9"/>
    <sheet name="20260824" sheetId="10" state="visible" r:id="rId10"/>
    <sheet name="20260821" sheetId="11" state="visible" r:id="rId11"/>
    <sheet name="20260820" sheetId="12" state="visible" r:id="rId12"/>
    <sheet name="20260819" sheetId="13" state="visible" r:id="rId13"/>
    <sheet name="20260818" sheetId="14" state="visible" r:id="rId14"/>
    <sheet name="20260817" sheetId="15" state="visible" r:id="rId15"/>
    <sheet name="20260814" sheetId="16" state="visible" r:id="rId16"/>
    <sheet name="20260813" sheetId="17" state="visible" r:id="rId17"/>
    <sheet name="20260812" sheetId="18" state="visible" r:id="rId18"/>
    <sheet name="20260811" sheetId="19" state="visible" r:id="rId19"/>
    <sheet name="20260810" sheetId="20" state="visible" r:id="rId20"/>
    <sheet name="20260807" sheetId="21" state="visible" r:id="rId21"/>
    <sheet name="20260806" sheetId="22" state="visible" r:id="rId22"/>
    <sheet name="20260805" sheetId="23" state="visible" r:id="rId23"/>
    <sheet name="20260804" sheetId="24" state="visible" r:id="rId24"/>
    <sheet name="20260803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9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  <numFmt numFmtId="252" formatCode="0.0%&quot; 市-479億 &quot;&quot;(昨21/5d17)&quot;"/>
    <numFmt numFmtId="253" formatCode="0&quot; 檔 +33億 &quot;&quot;(昨12/5d10)&quot;"/>
    <numFmt numFmtId="254" formatCode="+0&quot; 億 (昨-76/5d-103)&quot;;-0&quot; 億 (昨-76/5d-103)&quot;;0&quot; 億&quot;"/>
    <numFmt numFmtId="255" formatCode="0&quot; 檔 +24億 &quot;&quot;(昨9/5d9)&quot;"/>
    <numFmt numFmtId="256" formatCode="0.0%&quot; 市-435億 &quot;&quot;(昨20/5d18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666666"/>
      <sz val="11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5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5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213" fontId="51" fillId="0" borderId="0" applyAlignment="1" pivotButton="0" quotePrefix="0" xfId="0">
      <alignment horizontal="center"/>
    </xf>
    <xf numFmtId="214" fontId="4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50.5%
  • 領頭金額 36,166 萬
  • 合計淨買 71,628 萬
  • 大戶數 12 位 (名義共識)
判讀: 名義 12 位大戶共識,
實質 1 人下注佔 50%,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2026/08/28 (追蹤 13 位大戶)</t>
        </is>
      </c>
    </row>
    <row r="3" ht="24" customHeight="1">
      <c r="B3" s="2" t="inlineStr">
        <is>
          <t>🎯 7 強共識 / Q5 ↑ 偏多 95% / E 10 異常 / F 5 長期 / J 0 集中 / H 3 借券壓力</t>
        </is>
      </c>
    </row>
    <row r="4" ht="22" customHeight="1">
      <c r="B4" s="3" t="inlineStr">
        <is>
          <t>💡 🎯 quad 進場 (78.9% alpha): 2408 / 3189 / 2344 +4  |  避開 —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26.2% [15.3–41.1% 95% CI] (n=42, mean -0.99%) | 30d 實戰: 11/42 = 26.2% vs baseline 47.5% = -21.3pp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9/42 = 21% | 平均 -1.57% | 中位 -2.50% | 累積 -66%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7 檔 (⭐ 7 一般 quad): 南亞科(2408), 景碩(3189), 華邦電(2344), 南電(8046), 台虹(8039) +2 檔  |  Q5 偏多 + 2 位 master 量爆</t>
        </is>
      </c>
    </row>
    <row r="12" ht="18" customHeight="1">
      <c r="B12" s="9" t="inlineStr">
        <is>
          <t>📊 今日共識集中產業 (top 3): 半導體業 3 (43%)  |  電子零組件業 2 (29%)  |  塑膠工業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8046</t>
        </is>
      </c>
      <c r="D16" s="20" t="inlineStr">
        <is>
          <t>📌 ⭐⚠️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36166</v>
      </c>
      <c r="I16" t="inlineStr">
        <is>
          <t>蔣承翰</t>
        </is>
      </c>
      <c r="J16" s="18" t="n">
        <v>14766</v>
      </c>
      <c r="K16" t="inlineStr">
        <is>
          <t>林滄海</t>
        </is>
      </c>
      <c r="L16" s="18" t="n">
        <v>5879</v>
      </c>
      <c r="M16" s="19" t="n">
        <v>9</v>
      </c>
      <c r="N16" s="17" t="n">
        <v>71628</v>
      </c>
    </row>
    <row r="17">
      <c r="B17" s="13" t="n">
        <v>2</v>
      </c>
      <c r="C17" t="inlineStr">
        <is>
          <t>2408</t>
        </is>
      </c>
      <c r="D17" s="244" t="inlineStr">
        <is>
          <t>📌 ⭐ 南亞科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19094</v>
      </c>
      <c r="I17" t="inlineStr">
        <is>
          <t>強森</t>
        </is>
      </c>
      <c r="J17" s="18" t="n">
        <v>9392</v>
      </c>
      <c r="K17" t="inlineStr">
        <is>
          <t>民哥</t>
        </is>
      </c>
      <c r="L17" s="18" t="n">
        <v>6820</v>
      </c>
      <c r="M17" s="19" t="n">
        <v>8</v>
      </c>
      <c r="N17" s="17" t="n">
        <v>48789</v>
      </c>
    </row>
    <row r="18">
      <c r="B18" s="13" t="n">
        <v>3</v>
      </c>
      <c r="C18" t="inlineStr">
        <is>
          <t>2344</t>
        </is>
      </c>
      <c r="D18" s="244" t="inlineStr">
        <is>
          <t>📌 ⭐ 華邦電</t>
        </is>
      </c>
      <c r="E18" s="14" t="n">
        <v>12</v>
      </c>
      <c r="F18" s="15" t="n">
        <v>27</v>
      </c>
      <c r="G18" s="16" t="inlineStr">
        <is>
          <t>大牌分析師</t>
        </is>
      </c>
      <c r="H18" s="17" t="n">
        <v>9297</v>
      </c>
      <c r="I18" t="inlineStr">
        <is>
          <t>強森</t>
        </is>
      </c>
      <c r="J18" s="18" t="n">
        <v>6820</v>
      </c>
      <c r="K18" t="inlineStr">
        <is>
          <t>張濬安</t>
        </is>
      </c>
      <c r="L18" s="18" t="n">
        <v>5298</v>
      </c>
      <c r="M18" s="19" t="n">
        <v>9</v>
      </c>
      <c r="N18" s="17" t="n">
        <v>39552</v>
      </c>
    </row>
    <row r="19">
      <c r="B19" t="n">
        <v>4</v>
      </c>
      <c r="C19" t="inlineStr">
        <is>
          <t>3189</t>
        </is>
      </c>
      <c r="D19" s="244" t="inlineStr">
        <is>
          <t>📌 ⭐ 景碩</t>
        </is>
      </c>
      <c r="E19" s="14" t="n">
        <v>10</v>
      </c>
      <c r="F19" s="15" t="n">
        <v>18</v>
      </c>
      <c r="G19" s="16" t="inlineStr">
        <is>
          <t>蔣承翰</t>
        </is>
      </c>
      <c r="H19" s="17" t="n">
        <v>9566</v>
      </c>
      <c r="I19" t="inlineStr">
        <is>
          <t>巨人傑</t>
        </is>
      </c>
      <c r="J19" s="18" t="n">
        <v>5573</v>
      </c>
      <c r="K19" t="inlineStr">
        <is>
          <t>民哥</t>
        </is>
      </c>
      <c r="L19" s="18" t="n">
        <v>4884</v>
      </c>
      <c r="M19" s="19" t="n">
        <v>7</v>
      </c>
      <c r="N19" s="17" t="n">
        <v>32094</v>
      </c>
    </row>
    <row r="20">
      <c r="B20" t="n">
        <v>5</v>
      </c>
      <c r="C20" t="inlineStr">
        <is>
          <t>1303</t>
        </is>
      </c>
      <c r="D20" s="244" t="inlineStr">
        <is>
          <t>📌 ⭐ 南亞</t>
        </is>
      </c>
      <c r="E20" s="14" t="n">
        <v>11</v>
      </c>
      <c r="F20" s="15" t="n">
        <v>14</v>
      </c>
      <c r="G20" s="16" t="inlineStr">
        <is>
          <t>張濬安</t>
        </is>
      </c>
      <c r="H20" s="17" t="n">
        <v>7156</v>
      </c>
      <c r="I20" t="inlineStr">
        <is>
          <t>竹科主力分點</t>
        </is>
      </c>
      <c r="J20" s="18" t="n">
        <v>2853</v>
      </c>
      <c r="K20" t="inlineStr">
        <is>
          <t>布哥</t>
        </is>
      </c>
      <c r="L20" s="18" t="n">
        <v>2746</v>
      </c>
      <c r="M20" s="19" t="n">
        <v>8</v>
      </c>
      <c r="N20" s="17" t="n">
        <v>22950</v>
      </c>
    </row>
    <row r="21">
      <c r="B21" t="n">
        <v>6</v>
      </c>
      <c r="C21" t="inlineStr">
        <is>
          <t>2464</t>
        </is>
      </c>
      <c r="D21" s="244" t="inlineStr">
        <is>
          <t>📌 ⭐ 盟立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4990</v>
      </c>
      <c r="I21" t="inlineStr">
        <is>
          <t>林滄海</t>
        </is>
      </c>
      <c r="J21" s="18" t="n">
        <v>1824</v>
      </c>
      <c r="K21" t="inlineStr">
        <is>
          <t>巨人傑</t>
        </is>
      </c>
      <c r="L21" s="18" t="n">
        <v>1641</v>
      </c>
      <c r="M21" s="19" t="n">
        <v>7</v>
      </c>
      <c r="N21" s="17" t="n">
        <v>14592</v>
      </c>
    </row>
    <row r="22">
      <c r="B22" t="n">
        <v>7</v>
      </c>
      <c r="C22" t="inlineStr">
        <is>
          <t>8039</t>
        </is>
      </c>
      <c r="D22" s="244" t="inlineStr">
        <is>
          <t>📌 ⭐ 台虹</t>
        </is>
      </c>
      <c r="E22" s="14" t="n">
        <v>11</v>
      </c>
      <c r="F22" s="15" t="n">
        <v>16</v>
      </c>
      <c r="G22" s="16" t="inlineStr">
        <is>
          <t>林滄海</t>
        </is>
      </c>
      <c r="H22" s="17" t="n">
        <v>3456</v>
      </c>
      <c r="I22" t="inlineStr">
        <is>
          <t>張濬安</t>
        </is>
      </c>
      <c r="J22" s="18" t="n">
        <v>2725</v>
      </c>
      <c r="K22" t="inlineStr">
        <is>
          <t>巨人傑</t>
        </is>
      </c>
      <c r="L22" s="18" t="n">
        <v>1679</v>
      </c>
      <c r="M22" s="19" t="n">
        <v>8</v>
      </c>
      <c r="N22" s="17" t="n">
        <v>12635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304" t="n">
        <v>-58.2875</v>
      </c>
    </row>
    <row r="26" ht="28" customHeight="1">
      <c r="B26" s="22" t="inlineStr">
        <is>
          <t>Q3 強共識股</t>
        </is>
      </c>
      <c r="C26" s="305" t="n">
        <v>7</v>
      </c>
      <c r="F26" s="22" t="inlineStr">
        <is>
          <t>Q4 追蹤佔比</t>
        </is>
      </c>
      <c r="G26" s="306" t="n">
        <v>0.1991404468341169</v>
      </c>
    </row>
    <row r="27" ht="22" customHeight="1">
      <c r="B27" s="182" t="n">
        <v>95</v>
      </c>
    </row>
    <row r="28" ht="18" customHeight="1">
      <c r="B28" s="28" t="inlineStr">
        <is>
          <t>✅ 過去 30 天 P/C 命中率: 偏多 15/23 (65%) | 偏空 2/2 (100%) | 整體 17/25 (68%)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1981787</v>
      </c>
      <c r="E32" t="inlineStr">
        <is>
          <t>31.6%</t>
        </is>
      </c>
      <c r="F32" t="n">
        <v>1</v>
      </c>
      <c r="G32" s="16" t="inlineStr">
        <is>
          <t>聯電(2303)</t>
        </is>
      </c>
      <c r="H32" s="33" t="n">
        <v>430440</v>
      </c>
      <c r="I32" s="184" t="n">
        <v>0.09699999999999999</v>
      </c>
    </row>
    <row r="33">
      <c r="B33" t="n">
        <v>2</v>
      </c>
      <c r="C33" s="32" t="inlineStr">
        <is>
          <t>陳族元</t>
        </is>
      </c>
      <c r="D33" s="33" t="n">
        <v>1473682</v>
      </c>
      <c r="E33" t="inlineStr">
        <is>
          <t>23.5%</t>
        </is>
      </c>
      <c r="F33" t="n">
        <v>2</v>
      </c>
      <c r="G33" s="16" t="inlineStr">
        <is>
          <t>國巨*(2327)</t>
        </is>
      </c>
      <c r="H33" s="33" t="n">
        <v>255068</v>
      </c>
      <c r="I33" s="184" t="n">
        <v>0.0757</v>
      </c>
    </row>
    <row r="34">
      <c r="B34" t="n">
        <v>3</v>
      </c>
      <c r="C34" s="37" t="inlineStr">
        <is>
          <t>林滄海</t>
        </is>
      </c>
      <c r="D34" s="33" t="n">
        <v>739364</v>
      </c>
      <c r="E34" t="inlineStr">
        <is>
          <t>11.8%</t>
        </is>
      </c>
      <c r="F34" t="n">
        <v>3</v>
      </c>
      <c r="G34" s="16" t="inlineStr">
        <is>
          <t>金居(8358)</t>
        </is>
      </c>
      <c r="H34" s="33" t="n">
        <v>254748</v>
      </c>
      <c r="I34" s="184" t="n">
        <v>0.0992</v>
      </c>
    </row>
    <row r="35">
      <c r="B35" t="n">
        <v>4</v>
      </c>
      <c r="C35" s="38" t="inlineStr">
        <is>
          <t>蔣承翰</t>
        </is>
      </c>
      <c r="D35" s="33" t="n">
        <v>566203</v>
      </c>
      <c r="E35" t="inlineStr">
        <is>
          <t>9.0%</t>
        </is>
      </c>
      <c r="F35" t="n">
        <v>4</v>
      </c>
      <c r="G35" s="16" t="inlineStr">
        <is>
          <t>禾伸堂(3026)</t>
        </is>
      </c>
      <c r="H35" s="33" t="n">
        <v>193256</v>
      </c>
      <c r="I35" s="184" t="n">
        <v>0.0993</v>
      </c>
    </row>
    <row r="36">
      <c r="B36" t="n">
        <v>5</v>
      </c>
      <c r="C36" s="39" t="inlineStr">
        <is>
          <t>陳律師</t>
        </is>
      </c>
      <c r="D36" s="33" t="n">
        <v>434290</v>
      </c>
      <c r="E36" t="inlineStr">
        <is>
          <t>6.9%</t>
        </is>
      </c>
      <c r="F36" t="n">
        <v>5</v>
      </c>
      <c r="G36" s="16" t="inlineStr">
        <is>
          <t>華新科(2492)</t>
        </is>
      </c>
      <c r="H36" s="33" t="n">
        <v>167069</v>
      </c>
      <c r="I36" s="184" t="n">
        <v>0.1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17 檔新標的 (過去從沒買過)</t>
        </is>
      </c>
      <c r="F41" t="inlineStr">
        <is>
          <t>17 檔</t>
        </is>
      </c>
    </row>
    <row r="42">
      <c r="B42" s="58" t="inlineStr">
        <is>
          <t>🆕 新標的</t>
        </is>
      </c>
      <c r="C42" s="58" t="inlineStr">
        <is>
          <t>強森</t>
        </is>
      </c>
      <c r="D42" s="58" t="inlineStr">
        <is>
          <t>high</t>
        </is>
      </c>
      <c r="E42" s="58" t="inlineStr">
        <is>
          <t>強森 今日買進 13 檔新標的 (過去從沒買過)</t>
        </is>
      </c>
      <c r="F42" s="58" t="inlineStr">
        <is>
          <t>13 檔</t>
        </is>
      </c>
    </row>
    <row r="43">
      <c r="B43" t="inlineStr">
        <is>
          <t>🆕 新標的</t>
        </is>
      </c>
      <c r="C43" t="inlineStr">
        <is>
          <t>陳律師</t>
        </is>
      </c>
      <c r="D43" t="inlineStr">
        <is>
          <t>high</t>
        </is>
      </c>
      <c r="E43" t="inlineStr">
        <is>
          <t>陳律師 今日買進 13 檔新標的 (過去從沒買過)</t>
        </is>
      </c>
      <c r="F43" t="inlineStr">
        <is>
          <t>13 檔</t>
        </is>
      </c>
    </row>
    <row r="44">
      <c r="B44" s="58" t="inlineStr">
        <is>
          <t>🆕 新標的</t>
        </is>
      </c>
      <c r="C44" s="58" t="inlineStr">
        <is>
          <t>民哥</t>
        </is>
      </c>
      <c r="D44" s="58" t="inlineStr">
        <is>
          <t>high</t>
        </is>
      </c>
      <c r="E44" s="58" t="inlineStr">
        <is>
          <t>民哥 今日買進 12 檔新標的 (過去從沒買過)</t>
        </is>
      </c>
      <c r="F44" s="58" t="inlineStr">
        <is>
          <t>12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12 檔新標的 (過去從沒買過)</t>
        </is>
      </c>
      <c r="F45" t="inlineStr">
        <is>
          <t>12 檔</t>
        </is>
      </c>
    </row>
    <row r="46">
      <c r="B46" s="58" t="inlineStr">
        <is>
          <t>🆕 新標的</t>
        </is>
      </c>
      <c r="C46" s="58" t="inlineStr">
        <is>
          <t>蔣承翰</t>
        </is>
      </c>
      <c r="D46" s="58" t="inlineStr">
        <is>
          <t>high</t>
        </is>
      </c>
      <c r="E46" s="58" t="inlineStr">
        <is>
          <t>蔣承翰 今日買進 10 檔新標的 (過去從沒買過)</t>
        </is>
      </c>
      <c r="F46" s="58" t="inlineStr">
        <is>
          <t>10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58" t="inlineStr">
        <is>
          <t>🆕 新標的</t>
        </is>
      </c>
      <c r="C48" s="58" t="inlineStr">
        <is>
          <t>巨人傑</t>
        </is>
      </c>
      <c r="D48" s="58" t="inlineStr">
        <is>
          <t>high</t>
        </is>
      </c>
      <c r="E48" s="58" t="inlineStr">
        <is>
          <t>巨人傑 今日買進 8 檔新標的 (過去從沒買過)</t>
        </is>
      </c>
      <c r="F48" s="58" t="inlineStr">
        <is>
          <t>8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8 檔新標的 (過去從沒買過)</t>
        </is>
      </c>
      <c r="F49" t="inlineStr">
        <is>
          <t>8 檔</t>
        </is>
      </c>
    </row>
    <row r="50">
      <c r="B50" s="58" t="inlineStr">
        <is>
          <t>🆕 新標的</t>
        </is>
      </c>
      <c r="C50" s="58" t="inlineStr">
        <is>
          <t>迷你哥/松山哥</t>
        </is>
      </c>
      <c r="D50" s="58" t="inlineStr">
        <is>
          <t>high</t>
        </is>
      </c>
      <c r="E50" s="58" t="inlineStr">
        <is>
          <t>迷你哥/松山哥 今日買進 8 檔新標的 (過去從沒買過)</t>
        </is>
      </c>
      <c r="F50" s="58" t="inlineStr">
        <is>
          <t>8 檔</t>
        </is>
      </c>
    </row>
    <row r="51">
      <c r="B51" s="218" t="inlineStr">
        <is>
          <t>… 另 5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61" t="n">
        <v>21</v>
      </c>
      <c r="E55" t="n">
        <v>962866</v>
      </c>
      <c r="F55" t="inlineStr">
        <is>
          <t>陳族元 連續 21 天加碼 3008 (累計 962,866 萬)</t>
        </is>
      </c>
    </row>
    <row r="56">
      <c r="B56" s="58" t="inlineStr">
        <is>
          <t>🔴 張濬安(航海王)</t>
        </is>
      </c>
      <c r="C56" s="58" t="inlineStr">
        <is>
          <t>3017</t>
        </is>
      </c>
      <c r="D56" s="63" t="n">
        <v>21</v>
      </c>
      <c r="E56" s="58" t="n">
        <v>746107</v>
      </c>
      <c r="F56" s="58" t="inlineStr">
        <is>
          <t>張濬安(航海王) 連續 21 天加碼 3017 (累計 746,107 萬)</t>
        </is>
      </c>
    </row>
    <row r="57">
      <c r="B57" t="inlineStr">
        <is>
          <t>🔴 陳族元</t>
        </is>
      </c>
      <c r="C57" t="inlineStr">
        <is>
          <t>3653</t>
        </is>
      </c>
      <c r="D57" s="61" t="n">
        <v>21</v>
      </c>
      <c r="E57" t="n">
        <v>708552</v>
      </c>
      <c r="F57" t="inlineStr">
        <is>
          <t>陳族元 連續 21 天加碼 3653 (累計 708,552 萬)</t>
        </is>
      </c>
    </row>
    <row r="58">
      <c r="B58" s="58" t="inlineStr">
        <is>
          <t>🔴 強森</t>
        </is>
      </c>
      <c r="C58" s="58" t="inlineStr">
        <is>
          <t>2308</t>
        </is>
      </c>
      <c r="D58" s="63" t="n">
        <v>21</v>
      </c>
      <c r="E58" s="58" t="n">
        <v>174850</v>
      </c>
      <c r="F58" s="58" t="inlineStr">
        <is>
          <t>強森 連續 21 天加碼 2308 (累計 174,850 萬)</t>
        </is>
      </c>
    </row>
    <row r="59">
      <c r="B59" t="inlineStr">
        <is>
          <t>🔴 蔣承翰</t>
        </is>
      </c>
      <c r="C59" t="inlineStr">
        <is>
          <t>2884</t>
        </is>
      </c>
      <c r="D59" s="61" t="n">
        <v>21</v>
      </c>
      <c r="E59" t="n">
        <v>170351</v>
      </c>
      <c r="F59" t="inlineStr">
        <is>
          <t>蔣承翰 連續 21 天加碼 2884 (累計 170,351 萬)</t>
        </is>
      </c>
    </row>
    <row r="61" ht="22" customHeight="1">
      <c r="B61" s="43" t="inlineStr">
        <is>
          <t>▍ J. Master × Top 3 個股 cross-table (今日)</t>
        </is>
      </c>
    </row>
    <row r="62">
      <c r="B62" s="44" t="inlineStr">
        <is>
          <t>Master</t>
        </is>
      </c>
      <c r="C62" s="44" t="inlineStr">
        <is>
          <t>今日總買(萬)</t>
        </is>
      </c>
      <c r="D62" s="44" t="inlineStr">
        <is>
          <t>Top1 個股</t>
        </is>
      </c>
      <c r="E62" s="44" t="inlineStr">
        <is>
          <t>Top1 金額</t>
        </is>
      </c>
      <c r="F62" s="44" t="inlineStr">
        <is>
          <t>Top2 個股</t>
        </is>
      </c>
      <c r="G62" s="44" t="inlineStr">
        <is>
          <t>Top2 金額</t>
        </is>
      </c>
      <c r="H62" s="44" t="inlineStr">
        <is>
          <t>Top3 個股</t>
        </is>
      </c>
      <c r="I62" s="44" t="inlineStr">
        <is>
          <t>Top3 金額</t>
        </is>
      </c>
      <c r="J62" s="44" t="inlineStr">
        <is>
          <t>Top3 合計%</t>
        </is>
      </c>
    </row>
    <row r="63">
      <c r="B63" s="35" t="inlineStr">
        <is>
          <t>張濬安(航海王)</t>
        </is>
      </c>
      <c r="C63" s="33" t="n">
        <v>1666051</v>
      </c>
      <c r="D63" t="inlineStr">
        <is>
          <t>禾伸堂(3026)</t>
        </is>
      </c>
      <c r="E63" s="33" t="n">
        <v>147106</v>
      </c>
      <c r="F63" t="inlineStr">
        <is>
          <t>精材(3374)</t>
        </is>
      </c>
      <c r="G63" s="33" t="n">
        <v>140981</v>
      </c>
      <c r="H63" t="inlineStr">
        <is>
          <t>聯電(2303)</t>
        </is>
      </c>
      <c r="I63" s="33" t="n">
        <v>126761</v>
      </c>
      <c r="J63" s="185" t="n">
        <v>0.249000601061888</v>
      </c>
    </row>
    <row r="64">
      <c r="B64" s="32" t="inlineStr">
        <is>
          <t>陳族元</t>
        </is>
      </c>
      <c r="C64" s="33" t="n">
        <v>1436162</v>
      </c>
      <c r="D64" t="inlineStr">
        <is>
          <t>聯電(2303)</t>
        </is>
      </c>
      <c r="E64" s="33" t="n">
        <v>373463</v>
      </c>
      <c r="F64" t="inlineStr">
        <is>
          <t>禾伸堂(3026)</t>
        </is>
      </c>
      <c r="G64" s="33" t="n">
        <v>93400</v>
      </c>
      <c r="H64" t="inlineStr">
        <is>
          <t>台達電(2308)</t>
        </is>
      </c>
      <c r="I64" s="33" t="n">
        <v>62402</v>
      </c>
      <c r="J64" s="185" t="n">
        <v>0.3685273557326248</v>
      </c>
    </row>
    <row r="65">
      <c r="B65" s="37" t="inlineStr">
        <is>
          <t>林滄海</t>
        </is>
      </c>
      <c r="C65" s="33" t="n">
        <v>732513</v>
      </c>
      <c r="D65" t="inlineStr">
        <is>
          <t>金居(8358)</t>
        </is>
      </c>
      <c r="E65" s="33" t="n">
        <v>271610</v>
      </c>
      <c r="F65" t="inlineStr">
        <is>
          <t>聯電(2303)</t>
        </is>
      </c>
      <c r="G65" s="33" t="n">
        <v>84028</v>
      </c>
      <c r="H65" t="inlineStr">
        <is>
          <t>萬潤(6187)</t>
        </is>
      </c>
      <c r="I65" s="33" t="n">
        <v>23726</v>
      </c>
      <c r="J65" s="185" t="n">
        <v>0.5178936682787876</v>
      </c>
    </row>
    <row r="66">
      <c r="B66" s="38" t="inlineStr">
        <is>
          <t>蔣承翰</t>
        </is>
      </c>
      <c r="C66" s="33" t="n">
        <v>560136</v>
      </c>
      <c r="D66" t="inlineStr">
        <is>
          <t>國巨*(2327)</t>
        </is>
      </c>
      <c r="E66" s="33" t="n">
        <v>130173</v>
      </c>
      <c r="F66" t="inlineStr">
        <is>
          <t>華新科(2492)</t>
        </is>
      </c>
      <c r="G66" s="33" t="n">
        <v>102971</v>
      </c>
      <c r="H66" t="inlineStr">
        <is>
          <t>聯電(2303)</t>
        </is>
      </c>
      <c r="I66" s="33" t="n">
        <v>39508</v>
      </c>
      <c r="J66" s="185" t="n">
        <v>0.4867593881134331</v>
      </c>
    </row>
    <row r="67">
      <c r="B67" s="39" t="inlineStr">
        <is>
          <t>陳律師</t>
        </is>
      </c>
      <c r="C67" s="33" t="n">
        <v>426781</v>
      </c>
      <c r="D67" t="inlineStr">
        <is>
          <t>日月光投控(3711)</t>
        </is>
      </c>
      <c r="E67" s="33" t="n">
        <v>48324</v>
      </c>
      <c r="F67" t="inlineStr">
        <is>
          <t>國巨*(2327)</t>
        </is>
      </c>
      <c r="G67" s="33" t="n">
        <v>45909</v>
      </c>
      <c r="H67" t="inlineStr">
        <is>
          <t>華新科(2492)</t>
        </is>
      </c>
      <c r="I67" s="33" t="n">
        <v>33699</v>
      </c>
      <c r="J67" s="185" t="n">
        <v>0.2997619623915106</v>
      </c>
    </row>
    <row r="68">
      <c r="B68" s="46" t="inlineStr">
        <is>
          <t>強森</t>
        </is>
      </c>
      <c r="C68" s="33" t="n">
        <v>344118</v>
      </c>
      <c r="D68" t="inlineStr">
        <is>
          <t>禾伸堂(3026)</t>
        </is>
      </c>
      <c r="E68" s="33" t="n">
        <v>76446</v>
      </c>
      <c r="F68" t="inlineStr">
        <is>
          <t>南亞科(2408)</t>
        </is>
      </c>
      <c r="G68" s="33" t="n">
        <v>18215</v>
      </c>
      <c r="H68" t="inlineStr">
        <is>
          <t>華通(2313)</t>
        </is>
      </c>
      <c r="I68" s="33" t="n">
        <v>17414</v>
      </c>
      <c r="J68" s="185" t="n">
        <v>0.3256869296654463</v>
      </c>
    </row>
    <row r="69">
      <c r="B69" s="47" t="inlineStr">
        <is>
          <t>民哥</t>
        </is>
      </c>
      <c r="C69" s="33" t="n">
        <v>155725</v>
      </c>
      <c r="D69" t="inlineStr">
        <is>
          <t>大立光(3008)</t>
        </is>
      </c>
      <c r="E69" s="33" t="n">
        <v>23552</v>
      </c>
      <c r="F69" t="inlineStr">
        <is>
          <t>南亞科(2408)</t>
        </is>
      </c>
      <c r="G69" s="33" t="n">
        <v>20651</v>
      </c>
      <c r="H69" t="inlineStr">
        <is>
          <t>國巨*(2327)</t>
        </is>
      </c>
      <c r="I69" s="33" t="n">
        <v>14298</v>
      </c>
      <c r="J69" s="185" t="n">
        <v>0.3756651130772501</v>
      </c>
    </row>
    <row r="70">
      <c r="B70" s="48" t="inlineStr">
        <is>
          <t>竹科主力分點</t>
        </is>
      </c>
      <c r="C70" s="33" t="n">
        <v>141510</v>
      </c>
      <c r="D70" t="inlineStr">
        <is>
          <t>新代(7750)</t>
        </is>
      </c>
      <c r="E70" s="33" t="n">
        <v>26636</v>
      </c>
      <c r="F70" t="inlineStr">
        <is>
          <t>聯發科(2454)</t>
        </is>
      </c>
      <c r="G70" s="33" t="n">
        <v>11378</v>
      </c>
      <c r="H70" t="inlineStr">
        <is>
          <t>富世達(6805)</t>
        </is>
      </c>
      <c r="I70" s="33" t="n">
        <v>8871</v>
      </c>
      <c r="J70" s="185" t="n">
        <v>0.3313219381755687</v>
      </c>
    </row>
    <row r="71">
      <c r="B71" s="50" t="inlineStr">
        <is>
          <t>布哥/n_nchang</t>
        </is>
      </c>
      <c r="C71" s="33" t="n">
        <v>120273</v>
      </c>
      <c r="D71" t="inlineStr">
        <is>
          <t>玉晶光(3406)</t>
        </is>
      </c>
      <c r="E71" s="33" t="n">
        <v>24129</v>
      </c>
      <c r="F71" t="inlineStr">
        <is>
          <t>信驊(5274)</t>
        </is>
      </c>
      <c r="G71" s="33" t="n">
        <v>11027</v>
      </c>
      <c r="H71" t="inlineStr">
        <is>
          <t>富喬(1815)</t>
        </is>
      </c>
      <c r="I71" s="33" t="n">
        <v>10639</v>
      </c>
      <c r="J71" s="185" t="n">
        <v>0.3807554480224157</v>
      </c>
    </row>
    <row r="72">
      <c r="B72" s="49" t="inlineStr">
        <is>
          <t>大牌分析師</t>
        </is>
      </c>
      <c r="C72" s="33" t="n">
        <v>86992</v>
      </c>
      <c r="D72" t="inlineStr">
        <is>
          <t>華邦電(2344)</t>
        </is>
      </c>
      <c r="E72" s="33" t="n">
        <v>14371</v>
      </c>
      <c r="F72" t="inlineStr">
        <is>
          <t>南亞科(2408)</t>
        </is>
      </c>
      <c r="G72" s="33" t="n">
        <v>8748</v>
      </c>
      <c r="H72" t="inlineStr">
        <is>
          <t>金居(8358)</t>
        </is>
      </c>
      <c r="I72" s="33" t="n">
        <v>8664</v>
      </c>
      <c r="J72" s="185" t="n">
        <v>0.3653494881683843</v>
      </c>
    </row>
    <row r="73">
      <c r="B73" s="51" t="inlineStr">
        <is>
          <t>巨人傑</t>
        </is>
      </c>
      <c r="C73" s="33" t="n">
        <v>85473</v>
      </c>
      <c r="D73" t="inlineStr">
        <is>
          <t>南亞(1303)</t>
        </is>
      </c>
      <c r="E73" s="33" t="n">
        <v>8012</v>
      </c>
      <c r="F73" t="inlineStr">
        <is>
          <t>南亞科(2408)</t>
        </is>
      </c>
      <c r="G73" s="33" t="n">
        <v>7308</v>
      </c>
      <c r="H73" t="inlineStr">
        <is>
          <t>大立光(3008)</t>
        </is>
      </c>
      <c r="I73" s="33" t="n">
        <v>6537</v>
      </c>
      <c r="J73" s="185" t="n">
        <v>0.255705011284252</v>
      </c>
    </row>
    <row r="74">
      <c r="B74" s="52" t="inlineStr">
        <is>
          <t>Tradow</t>
        </is>
      </c>
      <c r="C74" s="33" t="n">
        <v>74309</v>
      </c>
      <c r="D74" t="inlineStr">
        <is>
          <t>南亞科(2408)</t>
        </is>
      </c>
      <c r="E74" s="33" t="n">
        <v>8771</v>
      </c>
      <c r="F74" t="inlineStr">
        <is>
          <t>華通(2313)</t>
        </is>
      </c>
      <c r="G74" s="33" t="n">
        <v>5226</v>
      </c>
      <c r="H74" t="inlineStr">
        <is>
          <t>聯電(2303)</t>
        </is>
      </c>
      <c r="I74" s="33" t="n">
        <v>4688</v>
      </c>
      <c r="J74" s="185" t="n">
        <v>0.2514503568194021</v>
      </c>
    </row>
    <row r="75">
      <c r="B75" s="53" t="inlineStr">
        <is>
          <t>迷你哥/松山哥</t>
        </is>
      </c>
      <c r="C75" s="33" t="n">
        <v>36831</v>
      </c>
      <c r="D75" t="inlineStr">
        <is>
          <t>台達電(2308)</t>
        </is>
      </c>
      <c r="E75" s="33" t="n">
        <v>9443</v>
      </c>
      <c r="F75" t="inlineStr">
        <is>
          <t>台積電(2330)</t>
        </is>
      </c>
      <c r="G75" s="33" t="n">
        <v>6085</v>
      </c>
      <c r="H75" t="inlineStr">
        <is>
          <t>南亞科(2408)</t>
        </is>
      </c>
      <c r="I75" s="33" t="n">
        <v>2025</v>
      </c>
      <c r="J75" s="185" t="n">
        <v>0.4765823540910967</v>
      </c>
    </row>
    <row r="77" ht="22" customHeight="1">
      <c r="B77" s="54" t="inlineStr">
        <is>
          <t>▍ G. 注意股 (資料日 20260829)</t>
        </is>
      </c>
    </row>
    <row r="78">
      <c r="B78" s="55" t="inlineStr">
        <is>
          <t>代號</t>
        </is>
      </c>
      <c r="C78" s="55" t="inlineStr">
        <is>
          <t>名稱</t>
        </is>
      </c>
      <c r="D78" s="55" t="inlineStr">
        <is>
          <t>累計次數</t>
        </is>
      </c>
      <c r="E78" s="55" t="inlineStr">
        <is>
          <t>收盤價</t>
        </is>
      </c>
      <c r="F78" s="55" t="inlineStr">
        <is>
          <t>本益比</t>
        </is>
      </c>
    </row>
    <row r="79">
      <c r="B79" s="56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20260828)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2344</t>
        </is>
      </c>
      <c r="C83" t="inlineStr">
        <is>
          <t>華邦電</t>
        </is>
      </c>
      <c r="D83" s="33" t="n">
        <v>12120</v>
      </c>
      <c r="E83" s="33" t="n">
        <v>373</v>
      </c>
      <c r="F83" s="186" t="n">
        <v>32.49</v>
      </c>
    </row>
    <row r="84">
      <c r="B84" s="58" t="inlineStr">
        <is>
          <t>2834</t>
        </is>
      </c>
      <c r="C84" s="58" t="inlineStr">
        <is>
          <t>臺企銀</t>
        </is>
      </c>
      <c r="D84" s="59" t="n">
        <v>7327</v>
      </c>
      <c r="E84" s="59" t="n">
        <v>10</v>
      </c>
      <c r="F84" s="187" t="n">
        <v>732.7</v>
      </c>
    </row>
    <row r="85">
      <c r="B85" t="inlineStr">
        <is>
          <t>00712</t>
        </is>
      </c>
      <c r="C85" t="inlineStr">
        <is>
          <t>復華富時不動產</t>
        </is>
      </c>
      <c r="D85" s="33" t="n">
        <v>5007</v>
      </c>
      <c r="E85" s="33" t="n">
        <v>0</v>
      </c>
      <c r="F85" t="inlineStr">
        <is>
          <t>—</t>
        </is>
      </c>
    </row>
    <row r="86">
      <c r="B86" s="63" t="inlineStr">
        <is>
          <t>🔴 2884</t>
        </is>
      </c>
      <c r="C86" s="58" t="inlineStr">
        <is>
          <t>玉山金</t>
        </is>
      </c>
      <c r="D86" s="59" t="n">
        <v>4984</v>
      </c>
      <c r="E86" s="59" t="n">
        <v>1</v>
      </c>
      <c r="F86" s="188" t="n">
        <v>4984</v>
      </c>
    </row>
    <row r="87">
      <c r="B87" s="61" t="inlineStr">
        <is>
          <t>🔴 2891</t>
        </is>
      </c>
      <c r="C87" t="inlineStr">
        <is>
          <t>中信金</t>
        </is>
      </c>
      <c r="D87" s="33" t="n">
        <v>4105</v>
      </c>
      <c r="E87" s="33" t="n">
        <v>2</v>
      </c>
      <c r="F87" s="189" t="n">
        <v>2052.5</v>
      </c>
    </row>
    <row r="88">
      <c r="B88" s="63" t="inlineStr">
        <is>
          <t>🔴 2887</t>
        </is>
      </c>
      <c r="C88" s="58" t="inlineStr">
        <is>
          <t>台新新光金</t>
        </is>
      </c>
      <c r="D88" s="59" t="n">
        <v>3691</v>
      </c>
      <c r="E88" s="59" t="n">
        <v>1</v>
      </c>
      <c r="F88" s="188" t="n">
        <v>3691</v>
      </c>
    </row>
    <row r="89">
      <c r="B89" t="inlineStr">
        <is>
          <t>2880</t>
        </is>
      </c>
      <c r="C89" t="inlineStr">
        <is>
          <t>華南金</t>
        </is>
      </c>
      <c r="D89" s="33" t="n">
        <v>3561</v>
      </c>
      <c r="E89" s="33" t="n">
        <v>5</v>
      </c>
      <c r="F89" s="186" t="n">
        <v>712.2</v>
      </c>
    </row>
    <row r="90">
      <c r="B90" s="58" t="inlineStr">
        <is>
          <t>1101</t>
        </is>
      </c>
      <c r="C90" s="58" t="inlineStr">
        <is>
          <t>台泥</t>
        </is>
      </c>
      <c r="D90" s="59" t="n">
        <v>3471</v>
      </c>
      <c r="E90" s="59" t="n">
        <v>5</v>
      </c>
      <c r="F90" s="187" t="n">
        <v>694.2</v>
      </c>
    </row>
    <row r="91">
      <c r="B91" t="inlineStr">
        <is>
          <t>9904</t>
        </is>
      </c>
      <c r="C91" t="inlineStr">
        <is>
          <t>寶成</t>
        </is>
      </c>
      <c r="D91" s="33" t="n">
        <v>3028</v>
      </c>
      <c r="E91" s="33" t="n">
        <v>0</v>
      </c>
      <c r="F91" t="inlineStr">
        <is>
          <t>—</t>
        </is>
      </c>
    </row>
    <row r="92">
      <c r="B92" s="58" t="inlineStr">
        <is>
          <t>4958</t>
        </is>
      </c>
      <c r="C92" s="58" t="inlineStr">
        <is>
          <t>臻鼎-KY</t>
        </is>
      </c>
      <c r="D92" s="59" t="n">
        <v>2984</v>
      </c>
      <c r="E92" s="59" t="n">
        <v>60</v>
      </c>
      <c r="F92" s="187" t="n">
        <v>49.73</v>
      </c>
    </row>
    <row r="93">
      <c r="B93" t="inlineStr">
        <is>
          <t>1314</t>
        </is>
      </c>
      <c r="C93" t="inlineStr">
        <is>
          <t>中石化</t>
        </is>
      </c>
      <c r="D93" s="33" t="n">
        <v>2962</v>
      </c>
      <c r="E93" s="33" t="n">
        <v>0</v>
      </c>
      <c r="F93" t="inlineStr">
        <is>
          <t>—</t>
        </is>
      </c>
    </row>
    <row r="94">
      <c r="B94" s="58" t="inlineStr">
        <is>
          <t>1303</t>
        </is>
      </c>
      <c r="C94" s="58" t="inlineStr">
        <is>
          <t>南亞</t>
        </is>
      </c>
      <c r="D94" s="59" t="n">
        <v>2928</v>
      </c>
      <c r="E94" s="59" t="n">
        <v>76</v>
      </c>
      <c r="F94" s="187" t="n">
        <v>38.53</v>
      </c>
    </row>
    <row r="95">
      <c r="B95" t="inlineStr">
        <is>
          <t>1312</t>
        </is>
      </c>
      <c r="C95" t="inlineStr">
        <is>
          <t>國喬</t>
        </is>
      </c>
      <c r="D95" s="33" t="n">
        <v>2916</v>
      </c>
      <c r="E95" s="33" t="n">
        <v>385</v>
      </c>
      <c r="F95" s="186" t="n">
        <v>7.57</v>
      </c>
    </row>
    <row r="96">
      <c r="B96" s="58" t="inlineStr">
        <is>
          <t>2371</t>
        </is>
      </c>
      <c r="C96" s="58" t="inlineStr">
        <is>
          <t>大同</t>
        </is>
      </c>
      <c r="D96" s="59" t="n">
        <v>2863</v>
      </c>
      <c r="E96" s="59" t="n">
        <v>0</v>
      </c>
      <c r="F96" s="58" t="inlineStr">
        <is>
          <t>—</t>
        </is>
      </c>
    </row>
    <row r="97">
      <c r="B97" t="inlineStr">
        <is>
          <t>2845</t>
        </is>
      </c>
      <c r="C97" t="inlineStr">
        <is>
          <t>遠東銀</t>
        </is>
      </c>
      <c r="D97" s="33" t="n">
        <v>2852</v>
      </c>
      <c r="E97" s="33" t="n">
        <v>0</v>
      </c>
      <c r="F97" t="inlineStr">
        <is>
          <t>—</t>
        </is>
      </c>
    </row>
    <row r="99" ht="22" customHeight="1">
      <c r="B99" s="65" t="inlineStr">
        <is>
          <t>▍ I. 未來 30 天除權息 (有效 65 檔, 已剔除過期)</t>
        </is>
      </c>
    </row>
    <row r="100">
      <c r="B100" s="55" t="inlineStr">
        <is>
          <t>除權息日</t>
        </is>
      </c>
      <c r="C100" s="55" t="inlineStr">
        <is>
          <t>代號</t>
        </is>
      </c>
      <c r="D100" s="55" t="inlineStr">
        <is>
          <t>名稱</t>
        </is>
      </c>
      <c r="E100" s="55" t="inlineStr">
        <is>
          <t>類型</t>
        </is>
      </c>
      <c r="F100" s="55" t="inlineStr">
        <is>
          <t>現金股利</t>
        </is>
      </c>
    </row>
    <row r="101">
      <c r="B101" t="inlineStr">
        <is>
          <t>20260831</t>
        </is>
      </c>
      <c r="C101" t="inlineStr">
        <is>
          <t>1531</t>
        </is>
      </c>
      <c r="D101" t="inlineStr">
        <is>
          <t>高林股</t>
        </is>
      </c>
      <c r="E101" t="inlineStr">
        <is>
          <t>息</t>
        </is>
      </c>
      <c r="F101" t="n">
        <v>1</v>
      </c>
    </row>
    <row r="102">
      <c r="B102" s="58" t="inlineStr">
        <is>
          <t>20260831</t>
        </is>
      </c>
      <c r="C102" s="58" t="inlineStr">
        <is>
          <t>1795</t>
        </is>
      </c>
      <c r="D102" s="58" t="inlineStr">
        <is>
          <t>美時</t>
        </is>
      </c>
      <c r="E102" s="58" t="inlineStr">
        <is>
          <t>權息</t>
        </is>
      </c>
      <c r="F102" s="58" t="n">
        <v>2.565316</v>
      </c>
    </row>
    <row r="103">
      <c r="B103" t="inlineStr">
        <is>
          <t>20260831</t>
        </is>
      </c>
      <c r="C103" t="inlineStr">
        <is>
          <t>2905</t>
        </is>
      </c>
      <c r="D103" t="inlineStr">
        <is>
          <t>三商</t>
        </is>
      </c>
      <c r="E103" t="inlineStr">
        <is>
          <t>息</t>
        </is>
      </c>
      <c r="F103" t="n">
        <v>0.3</v>
      </c>
    </row>
    <row r="104">
      <c r="B104" s="58" t="inlineStr">
        <is>
          <t>20260831</t>
        </is>
      </c>
      <c r="C104" s="58" t="inlineStr">
        <is>
          <t>3209</t>
        </is>
      </c>
      <c r="D104" s="58" t="inlineStr">
        <is>
          <t>全科</t>
        </is>
      </c>
      <c r="E104" s="58" t="inlineStr">
        <is>
          <t>權息</t>
        </is>
      </c>
      <c r="F104" s="58" t="n">
        <v>2</v>
      </c>
    </row>
    <row r="105">
      <c r="B105" t="inlineStr">
        <is>
          <t>20260831</t>
        </is>
      </c>
      <c r="C105" t="inlineStr">
        <is>
          <t>9105</t>
        </is>
      </c>
      <c r="D105" t="inlineStr">
        <is>
          <t>泰金寶-DR</t>
        </is>
      </c>
      <c r="E105" t="inlineStr">
        <is>
          <t>息</t>
        </is>
      </c>
      <c r="F105" t="n">
        <v>0.067011</v>
      </c>
    </row>
    <row r="106">
      <c r="B106" s="58" t="inlineStr">
        <is>
          <t>20260831</t>
        </is>
      </c>
      <c r="C106" s="58" t="inlineStr">
        <is>
          <t>9917</t>
        </is>
      </c>
      <c r="D106" s="58" t="inlineStr">
        <is>
          <t>中保科</t>
        </is>
      </c>
      <c r="E106" s="58" t="inlineStr">
        <is>
          <t>權</t>
        </is>
      </c>
      <c r="F106" s="58" t="n">
        <v>0</v>
      </c>
    </row>
    <row r="107">
      <c r="B107" t="inlineStr">
        <is>
          <t>20260901</t>
        </is>
      </c>
      <c r="C107" t="inlineStr">
        <is>
          <t>00939</t>
        </is>
      </c>
      <c r="D107" t="inlineStr">
        <is>
          <t>統一台灣高息動能</t>
        </is>
      </c>
      <c r="E107" t="inlineStr">
        <is>
          <t>息</t>
        </is>
      </c>
      <c r="F107" t="n">
        <v>0.125</v>
      </c>
    </row>
    <row r="108">
      <c r="B108" s="58" t="inlineStr">
        <is>
          <t>20260901</t>
        </is>
      </c>
      <c r="C108" s="58" t="inlineStr">
        <is>
          <t>00984D</t>
        </is>
      </c>
      <c r="D108" s="58" t="inlineStr">
        <is>
          <t>主動聯博全球非投</t>
        </is>
      </c>
      <c r="E108" s="58" t="inlineStr">
        <is>
          <t>息</t>
        </is>
      </c>
      <c r="F108" s="58" t="n">
        <v>0.08500000000000001</v>
      </c>
    </row>
    <row r="109">
      <c r="B109" t="inlineStr">
        <is>
          <t>20260901</t>
        </is>
      </c>
      <c r="C109" t="inlineStr">
        <is>
          <t>1732</t>
        </is>
      </c>
      <c r="D109" t="inlineStr">
        <is>
          <t>毛寶</t>
        </is>
      </c>
      <c r="E109" t="inlineStr">
        <is>
          <t>息</t>
        </is>
      </c>
      <c r="F109" t="n">
        <v>0.6</v>
      </c>
    </row>
    <row r="110">
      <c r="B110" s="58" t="inlineStr">
        <is>
          <t>20260901</t>
        </is>
      </c>
      <c r="C110" s="58" t="inlineStr">
        <is>
          <t>1783</t>
        </is>
      </c>
      <c r="D110" s="58" t="inlineStr">
        <is>
          <t>和康生</t>
        </is>
      </c>
      <c r="E110" s="58" t="inlineStr">
        <is>
          <t>息</t>
        </is>
      </c>
      <c r="F110" s="58" t="n">
        <v>1.999598</v>
      </c>
    </row>
    <row r="111">
      <c r="B111" t="inlineStr">
        <is>
          <t>20260901</t>
        </is>
      </c>
      <c r="C111" t="inlineStr">
        <is>
          <t>2701</t>
        </is>
      </c>
      <c r="D111" t="inlineStr">
        <is>
          <t>萬企</t>
        </is>
      </c>
      <c r="E111" t="inlineStr">
        <is>
          <t>息</t>
        </is>
      </c>
      <c r="F111" t="n">
        <v>0.28</v>
      </c>
    </row>
    <row r="112">
      <c r="B112" s="58" t="inlineStr">
        <is>
          <t>20260901</t>
        </is>
      </c>
      <c r="C112" s="58" t="inlineStr">
        <is>
          <t>2889</t>
        </is>
      </c>
      <c r="D112" s="58" t="inlineStr">
        <is>
          <t>國票金</t>
        </is>
      </c>
      <c r="E112" s="58" t="inlineStr">
        <is>
          <t>權息</t>
        </is>
      </c>
      <c r="F112" s="58" t="n">
        <v>0.5</v>
      </c>
    </row>
    <row r="113">
      <c r="B113" t="inlineStr">
        <is>
          <t>20260901</t>
        </is>
      </c>
      <c r="C113" t="inlineStr">
        <is>
          <t>3052</t>
        </is>
      </c>
      <c r="D113" t="inlineStr">
        <is>
          <t>夆典</t>
        </is>
      </c>
      <c r="E113" t="inlineStr">
        <is>
          <t>息</t>
        </is>
      </c>
      <c r="F113" t="n">
        <v>0.6</v>
      </c>
    </row>
    <row r="114">
      <c r="B114" s="58" t="inlineStr">
        <is>
          <t>20260901</t>
        </is>
      </c>
      <c r="C114" s="58" t="inlineStr">
        <is>
          <t>3135</t>
        </is>
      </c>
      <c r="D114" s="58" t="inlineStr">
        <is>
          <t>凌航</t>
        </is>
      </c>
      <c r="E114" s="58" t="inlineStr">
        <is>
          <t>權息</t>
        </is>
      </c>
      <c r="F114" s="58" t="n">
        <v>3.258584</v>
      </c>
    </row>
    <row r="115">
      <c r="B115" t="inlineStr">
        <is>
          <t>20260901</t>
        </is>
      </c>
      <c r="C115" t="inlineStr">
        <is>
          <t>3416</t>
        </is>
      </c>
      <c r="D115" t="inlineStr">
        <is>
          <t>融程電</t>
        </is>
      </c>
      <c r="E115" t="inlineStr">
        <is>
          <t>權</t>
        </is>
      </c>
      <c r="F115" t="n">
        <v>0</v>
      </c>
    </row>
  </sheetData>
  <mergeCells count="29">
    <mergeCell ref="B9:N9"/>
    <mergeCell ref="B61:J61"/>
    <mergeCell ref="B30:E30"/>
    <mergeCell ref="B53:J53"/>
    <mergeCell ref="C26:D26"/>
    <mergeCell ref="C25:D25"/>
    <mergeCell ref="B4:N4"/>
    <mergeCell ref="B99:J99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77:J77"/>
    <mergeCell ref="B11:N11"/>
    <mergeCell ref="B2:N2"/>
    <mergeCell ref="B14:N14"/>
    <mergeCell ref="B81:J81"/>
    <mergeCell ref="B8:N8"/>
    <mergeCell ref="B51:F51"/>
    <mergeCell ref="B13:N13"/>
    <mergeCell ref="B79:F79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南電 (8046) · 12 大戶</t>
        </is>
      </c>
    </row>
    <row r="9">
      <c r="C9" s="246" t="inlineStr">
        <is>
          <t>🎯 南亞科 (2408) · 11 大戶</t>
        </is>
      </c>
    </row>
    <row r="10">
      <c r="C10" s="246" t="inlineStr">
        <is>
          <t>🎯 華邦電 (2344) · 12 大戶</t>
        </is>
      </c>
    </row>
    <row r="11">
      <c r="C11" s="246" t="inlineStr">
        <is>
          <t>🎯 景碩 (3189) · 10 大戶</t>
        </is>
      </c>
    </row>
    <row r="12">
      <c r="C12" s="246" t="inlineStr">
        <is>
          <t>🎯 南亞 (1303)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南電 (8046) · 12 大戶</t>
        </is>
      </c>
    </row>
    <row r="16">
      <c r="C16" s="69" t="inlineStr">
        <is>
          <t>⭐ 南亞科 (2408) · 11 大戶</t>
        </is>
      </c>
    </row>
    <row r="17">
      <c r="C17" s="69" t="inlineStr">
        <is>
          <t>⭐ 華邦電 (2344) · 12 大戶</t>
        </is>
      </c>
    </row>
    <row r="18">
      <c r="C18" s="69" t="inlineStr">
        <is>
          <t>⭐ 景碩 (3189) · 10 大戶</t>
        </is>
      </c>
    </row>
    <row r="19">
      <c r="C19" s="69" t="inlineStr">
        <is>
          <t>⭐ 南亞 (1303)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(43%)</t>
        </is>
      </c>
    </row>
    <row r="23">
      <c r="C23" s="69" t="inlineStr">
        <is>
          <t>電子零組件業 · 2 檔 (29%)</t>
        </is>
      </c>
    </row>
    <row r="24">
      <c r="C24" s="69" t="inlineStr">
        <is>
          <t>塑膠工業 · 1 檔 (14%)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華邦電 (2344) · 14,371 萬 (★共識)</t>
        </is>
      </c>
    </row>
    <row r="28">
      <c r="C28" s="69" t="inlineStr">
        <is>
          <t>南亞科 (2408) · 8,748 萬 (★共識)</t>
        </is>
      </c>
    </row>
    <row r="29">
      <c r="C29" s="69" t="inlineStr">
        <is>
          <t>金居 (8358) · 8,664 萬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-58 億 淨買</t>
        </is>
      </c>
    </row>
    <row r="37">
      <c r="C37" s="71" t="inlineStr">
        <is>
          <t>比昨 -76 反彈 / 比 5d -103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11/42 = 26.2% (mean -0.99%)   |  30d: 11/42 = 26.2%  |  預期 78.9% (delta -52.7pp)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2026/08/27</t>
        </is>
      </c>
      <c r="C6" s="249" t="inlineStr">
        <is>
          <t>08/28</t>
        </is>
      </c>
      <c r="D6" s="250" t="inlineStr">
        <is>
          <t>偏多</t>
        </is>
      </c>
      <c r="E6" s="71" t="inlineStr">
        <is>
          <t>竹科主力分點</t>
        </is>
      </c>
      <c r="F6" s="249" t="n">
        <v>9</v>
      </c>
      <c r="G6" s="307" t="n">
        <v>5</v>
      </c>
      <c r="H6" s="308" t="n">
        <v>55.56</v>
      </c>
      <c r="I6" s="309" t="n">
        <v>2.58</v>
      </c>
      <c r="J6" s="71" t="inlineStr">
        <is>
          <t>聯電(2303) +9.7% / 頎邦(6147) -2.7% / 台光電(2383) -0.2% +6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50" t="inlineStr">
        <is>
          <t>偏多</t>
        </is>
      </c>
      <c r="E7" s="71" t="inlineStr">
        <is>
          <t>Tradow, 林滄海</t>
        </is>
      </c>
      <c r="F7" s="249" t="n">
        <v>13</v>
      </c>
      <c r="G7" s="251" t="n">
        <v>0</v>
      </c>
      <c r="H7" s="252" t="n">
        <v>0</v>
      </c>
      <c r="I7" s="253" t="n">
        <v>-3.85</v>
      </c>
      <c r="J7" s="71" t="inlineStr">
        <is>
          <t>南亞(1303) -0.2% / 聯發科(2454) -4.1% / 鴻海(2317) -2.4% +10</t>
        </is>
      </c>
    </row>
    <row r="8">
      <c r="B8" s="249" t="inlineStr">
        <is>
          <t>2026/08/14</t>
        </is>
      </c>
      <c r="C8" s="249" t="inlineStr">
        <is>
          <t>08/17</t>
        </is>
      </c>
      <c r="D8" s="250" t="inlineStr">
        <is>
          <t>偏多</t>
        </is>
      </c>
      <c r="E8" s="71" t="inlineStr">
        <is>
          <t>巨人傑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群聯(8299) +0.2% / 國巨*(2327) -2.2% / 合晶(6182) +9.9% +7</t>
        </is>
      </c>
    </row>
    <row r="9">
      <c r="B9" s="249" t="inlineStr">
        <is>
          <t>2026/08/13</t>
        </is>
      </c>
      <c r="C9" s="249" t="inlineStr">
        <is>
          <t>08/14</t>
        </is>
      </c>
      <c r="D9" s="250" t="inlineStr">
        <is>
          <t>偏多</t>
        </is>
      </c>
      <c r="E9" s="71" t="inlineStr">
        <is>
          <t>迷你哥/松山哥</t>
        </is>
      </c>
      <c r="F9" s="249" t="n">
        <v>10</v>
      </c>
      <c r="G9" s="251" t="n">
        <v>3</v>
      </c>
      <c r="H9" s="252" t="n">
        <v>30</v>
      </c>
      <c r="I9" s="253" t="n">
        <v>-0.73</v>
      </c>
      <c r="J9" s="71" t="inlineStr">
        <is>
          <t>京元電子(2449) -2.6% / 鴻海(2317) -0.9% / 嘉澤(3533) -5.0% +7</t>
        </is>
      </c>
    </row>
    <row r="11">
      <c r="B11" s="254" t="inlineStr">
        <is>
          <t>Per-Master Vol_Spike 可靠度 (排序 by 命中率)</t>
        </is>
      </c>
    </row>
    <row r="12">
      <c r="B12" s="248" t="inlineStr">
        <is>
          <t>Master</t>
        </is>
      </c>
      <c r="C12" s="248" t="inlineStr">
        <is>
          <t>trigger days</t>
        </is>
      </c>
      <c r="D12" s="248" t="inlineStr">
        <is>
          <t>all picks</t>
        </is>
      </c>
      <c r="E12" s="248" t="inlineStr">
        <is>
          <t>hits</t>
        </is>
      </c>
      <c r="F12" s="248" t="inlineStr">
        <is>
          <t>命中率</t>
        </is>
      </c>
      <c r="G12" s="248" t="inlineStr">
        <is>
          <t>mean%</t>
        </is>
      </c>
    </row>
    <row r="13">
      <c r="B13" s="249" t="inlineStr">
        <is>
          <t>竹科主力分點</t>
        </is>
      </c>
      <c r="C13" s="255" t="n">
        <v>1</v>
      </c>
      <c r="D13" s="255" t="n">
        <v>9</v>
      </c>
      <c r="E13" s="255" t="n">
        <v>5</v>
      </c>
      <c r="F13" s="256" t="n">
        <v>55.55555555555556</v>
      </c>
      <c r="G13" s="309" t="n">
        <v>2.577777777777778</v>
      </c>
    </row>
    <row r="14">
      <c r="B14" s="249" t="inlineStr">
        <is>
          <t>迷你哥/松山哥</t>
        </is>
      </c>
      <c r="C14" s="255" t="n">
        <v>1</v>
      </c>
      <c r="D14" s="255" t="n">
        <v>10</v>
      </c>
      <c r="E14" s="255" t="n">
        <v>3</v>
      </c>
      <c r="F14" s="256" t="n">
        <v>30</v>
      </c>
      <c r="G14" s="253" t="n">
        <v>-0.7270000000000001</v>
      </c>
    </row>
    <row r="15">
      <c r="B15" s="249" t="inlineStr">
        <is>
          <t>巨人傑</t>
        </is>
      </c>
      <c r="C15" s="255" t="n">
        <v>1</v>
      </c>
      <c r="D15" s="255" t="n">
        <v>10</v>
      </c>
      <c r="E15" s="255" t="n">
        <v>3</v>
      </c>
      <c r="F15" s="256" t="n">
        <v>30</v>
      </c>
      <c r="G15" s="253" t="n">
        <v>-0.7320000000000001</v>
      </c>
    </row>
    <row r="16">
      <c r="B16" s="249" t="inlineStr">
        <is>
          <t>林滄海</t>
        </is>
      </c>
      <c r="C16" s="255" t="n">
        <v>1</v>
      </c>
      <c r="D16" s="255" t="n">
        <v>13</v>
      </c>
      <c r="E16" s="255" t="n">
        <v>0</v>
      </c>
      <c r="F16" s="256" t="n">
        <v>0</v>
      </c>
      <c r="G16" s="253" t="n">
        <v>-3.85076923076923</v>
      </c>
    </row>
    <row r="17">
      <c r="B17" s="249" t="inlineStr">
        <is>
          <t>Tradow</t>
        </is>
      </c>
      <c r="C17" s="255" t="n">
        <v>1</v>
      </c>
      <c r="D17" s="255" t="n">
        <v>8</v>
      </c>
      <c r="E17" s="255" t="n">
        <v>0</v>
      </c>
      <c r="F17" s="256" t="n">
        <v>0</v>
      </c>
      <c r="G17" s="253" t="n">
        <v>-4.19125</v>
      </c>
    </row>
    <row r="19" ht="70" customHeight="1">
      <c r="B19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0"/>
    <row r="21"/>
    <row r="22"/>
  </sheetData>
  <mergeCells count="2">
    <mergeCell ref="B3:J3"/>
    <mergeCell ref="B19:J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31/42 (73.8%) | 預期 miss rate 21.1% | 差異 +52.7pp</t>
        </is>
      </c>
    </row>
    <row r="4" ht="18" customHeight="1">
      <c r="B4" s="259" t="inlineStr">
        <is>
          <t>歸因分布: 個股弱勢 (跑輸大盤 &gt;2pp): 20 | alpha noise (個股無系統性原因): 8 | 假共識 (領頭獨佔 ≥50%): 5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2026/08/27</t>
        </is>
      </c>
      <c r="C7" s="249" t="inlineStr">
        <is>
          <t>08/28</t>
        </is>
      </c>
      <c r="D7" s="249" t="inlineStr">
        <is>
          <t>頎邦(6147)</t>
        </is>
      </c>
      <c r="E7" s="253" t="n">
        <v>-2.67</v>
      </c>
      <c r="F7" s="261" t="n">
        <v>0.77</v>
      </c>
      <c r="G7" s="262" t="n">
        <v>-3.44</v>
      </c>
      <c r="H7" s="263" t="n">
        <v>23.5</v>
      </c>
      <c r="I7" s="264" t="n">
        <v>87.3</v>
      </c>
      <c r="J7" s="71" t="inlineStr">
        <is>
          <t>竹科主力分點</t>
        </is>
      </c>
      <c r="K7" s="265" t="inlineStr">
        <is>
          <t>個股弱勢 (跑輸大盤 &gt;2pp)</t>
        </is>
      </c>
    </row>
    <row r="8">
      <c r="B8" s="249" t="inlineStr">
        <is>
          <t>2026/08/27</t>
        </is>
      </c>
      <c r="C8" s="249" t="inlineStr">
        <is>
          <t>08/28</t>
        </is>
      </c>
      <c r="D8" s="249" t="inlineStr">
        <is>
          <t>台光電(2383)</t>
        </is>
      </c>
      <c r="E8" s="253" t="n">
        <v>-0.18</v>
      </c>
      <c r="F8" s="261" t="n">
        <v>0.77</v>
      </c>
      <c r="G8" s="262" t="n">
        <v>-0.95</v>
      </c>
      <c r="H8" s="263" t="n">
        <v>28.2</v>
      </c>
      <c r="I8" s="264" t="n">
        <v>87.3</v>
      </c>
      <c r="J8" s="71" t="inlineStr">
        <is>
          <t>竹科主力分點</t>
        </is>
      </c>
      <c r="K8" s="265" t="inlineStr">
        <is>
          <t>alpha noise (個股無系統性原因)</t>
        </is>
      </c>
    </row>
    <row r="9">
      <c r="B9" s="249" t="inlineStr">
        <is>
          <t>2026/08/27</t>
        </is>
      </c>
      <c r="C9" s="249" t="inlineStr">
        <is>
          <t>08/28</t>
        </is>
      </c>
      <c r="D9" s="249" t="inlineStr">
        <is>
          <t>旺矽(6223)</t>
        </is>
      </c>
      <c r="E9" s="253" t="n">
        <v>-1.18</v>
      </c>
      <c r="F9" s="261" t="n">
        <v>0.77</v>
      </c>
      <c r="G9" s="262" t="n">
        <v>-1.95</v>
      </c>
      <c r="H9" s="266" t="n">
        <v>66.3</v>
      </c>
      <c r="I9" s="264" t="n">
        <v>87.3</v>
      </c>
      <c r="J9" s="71" t="inlineStr">
        <is>
          <t>竹科主力分點</t>
        </is>
      </c>
      <c r="K9" s="265" t="inlineStr">
        <is>
          <t>假共識 (領頭獨佔 ≥50%)</t>
        </is>
      </c>
    </row>
    <row r="10">
      <c r="B10" s="249" t="inlineStr">
        <is>
          <t>2026/08/27</t>
        </is>
      </c>
      <c r="C10" s="249" t="inlineStr">
        <is>
          <t>08/28</t>
        </is>
      </c>
      <c r="D10" s="249" t="inlineStr">
        <is>
          <t>仁寶(2324)</t>
        </is>
      </c>
      <c r="E10" s="253" t="n">
        <v>-0.13</v>
      </c>
      <c r="F10" s="261" t="n">
        <v>0.77</v>
      </c>
      <c r="G10" s="262" t="n">
        <v>-0.9</v>
      </c>
      <c r="H10" s="263" t="n">
        <v>21.2</v>
      </c>
      <c r="I10" s="264" t="n">
        <v>87.3</v>
      </c>
      <c r="J10" s="71" t="inlineStr">
        <is>
          <t>竹科主力分點</t>
        </is>
      </c>
      <c r="K10" s="265" t="inlineStr">
        <is>
          <t>alpha noise (個股無系統性原因)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南亞(1303)</t>
        </is>
      </c>
      <c r="E11" s="253" t="n">
        <v>-0.25</v>
      </c>
      <c r="F11" s="261" t="n">
        <v>0.1</v>
      </c>
      <c r="G11" s="262" t="n">
        <v>-0.35</v>
      </c>
      <c r="H11" s="263" t="n">
        <v>20.5</v>
      </c>
      <c r="I11" s="264" t="n">
        <v>95</v>
      </c>
      <c r="J11" s="71" t="inlineStr">
        <is>
          <t>林滄海</t>
        </is>
      </c>
      <c r="K11" s="265" t="inlineStr">
        <is>
          <t>alpha noise (個股無系統性原因)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聯發科(2454)</t>
        </is>
      </c>
      <c r="E12" s="253" t="n">
        <v>-4.07</v>
      </c>
      <c r="F12" s="261" t="n">
        <v>0.1</v>
      </c>
      <c r="G12" s="262" t="n">
        <v>-4.17</v>
      </c>
      <c r="H12" s="266" t="n">
        <v>52.6</v>
      </c>
      <c r="I12" s="264" t="n">
        <v>95</v>
      </c>
      <c r="J12" s="71" t="inlineStr">
        <is>
          <t>Tradow, 林滄海</t>
        </is>
      </c>
      <c r="K12" s="265" t="inlineStr">
        <is>
          <t>假共識 (領頭獨佔 ≥50%) | 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鴻海(2317)</t>
        </is>
      </c>
      <c r="E13" s="253" t="n">
        <v>-2.35</v>
      </c>
      <c r="F13" s="261" t="n">
        <v>0.1</v>
      </c>
      <c r="G13" s="262" t="n">
        <v>-2.45</v>
      </c>
      <c r="H13" s="263" t="n">
        <v>18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技嘉(2376)</t>
        </is>
      </c>
      <c r="E14" s="253" t="n">
        <v>-2.79</v>
      </c>
      <c r="F14" s="261" t="n">
        <v>0.1</v>
      </c>
      <c r="G14" s="262" t="n">
        <v>-2.89</v>
      </c>
      <c r="H14" s="263" t="n">
        <v>32.1</v>
      </c>
      <c r="I14" s="264" t="n">
        <v>95</v>
      </c>
      <c r="J14" s="71" t="inlineStr">
        <is>
          <t>Tradow, 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旺宏(2337)</t>
        </is>
      </c>
      <c r="E15" s="253" t="n">
        <v>-5.79</v>
      </c>
      <c r="F15" s="261" t="n">
        <v>0.1</v>
      </c>
      <c r="G15" s="262" t="n">
        <v>-5.89</v>
      </c>
      <c r="H15" s="263" t="n">
        <v>27.7</v>
      </c>
      <c r="I15" s="264" t="n">
        <v>95</v>
      </c>
      <c r="J15" s="71" t="inlineStr">
        <is>
          <t>Tradow, 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國巨*(2327)</t>
        </is>
      </c>
      <c r="E16" s="253" t="n">
        <v>-5.26</v>
      </c>
      <c r="F16" s="261" t="n">
        <v>0.1</v>
      </c>
      <c r="G16" s="262" t="n">
        <v>-5.36</v>
      </c>
      <c r="H16" s="263" t="n">
        <v>36.7</v>
      </c>
      <c r="I16" s="264" t="n">
        <v>95</v>
      </c>
      <c r="J16" s="71" t="inlineStr">
        <is>
          <t>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力積電(6770)</t>
        </is>
      </c>
      <c r="E17" s="253" t="n">
        <v>-6.57</v>
      </c>
      <c r="F17" s="261" t="n">
        <v>0.1</v>
      </c>
      <c r="G17" s="262" t="n">
        <v>-6.67</v>
      </c>
      <c r="H17" s="263" t="n">
        <v>20.1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仁寶(2324)</t>
        </is>
      </c>
      <c r="E18" s="253" t="n">
        <v>-2.52</v>
      </c>
      <c r="F18" s="261" t="n">
        <v>0.1</v>
      </c>
      <c r="G18" s="262" t="n">
        <v>-2.62</v>
      </c>
      <c r="H18" s="263" t="n">
        <v>21.9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景碩(3189)</t>
        </is>
      </c>
      <c r="E19" s="253" t="n">
        <v>-4.42</v>
      </c>
      <c r="F19" s="261" t="n">
        <v>0.1</v>
      </c>
      <c r="G19" s="262" t="n">
        <v>-4.52</v>
      </c>
      <c r="H19" s="263" t="n">
        <v>42.3</v>
      </c>
      <c r="I19" s="264" t="n">
        <v>95</v>
      </c>
      <c r="J19" s="71" t="inlineStr">
        <is>
          <t>林滄海</t>
        </is>
      </c>
      <c r="K19" s="265" t="inlineStr">
        <is>
          <t>個股弱勢 (跑輸大盤 &gt;2pp)</t>
        </is>
      </c>
    </row>
    <row r="20">
      <c r="B20" s="249" t="inlineStr">
        <is>
          <t>2026/08/17</t>
        </is>
      </c>
      <c r="C20" s="249" t="inlineStr">
        <is>
          <t>08/18</t>
        </is>
      </c>
      <c r="D20" s="249" t="inlineStr">
        <is>
          <t>台燿(6274)</t>
        </is>
      </c>
      <c r="E20" s="253" t="n">
        <v>-3.44</v>
      </c>
      <c r="F20" s="261" t="n">
        <v>0.1</v>
      </c>
      <c r="G20" s="262" t="n">
        <v>-3.54</v>
      </c>
      <c r="H20" s="263" t="n">
        <v>40.2</v>
      </c>
      <c r="I20" s="264" t="n">
        <v>95</v>
      </c>
      <c r="J20" s="71" t="inlineStr">
        <is>
          <t>Tradow, 林滄海</t>
        </is>
      </c>
      <c r="K20" s="265" t="inlineStr">
        <is>
          <t>個股弱勢 (跑輸大盤 &gt;2pp)</t>
        </is>
      </c>
    </row>
    <row r="21">
      <c r="B21" s="249" t="inlineStr">
        <is>
          <t>2026/08/17</t>
        </is>
      </c>
      <c r="C21" s="249" t="inlineStr">
        <is>
          <t>08/18</t>
        </is>
      </c>
      <c r="D21" s="249" t="inlineStr">
        <is>
          <t>臻鼎-KY(4958)</t>
        </is>
      </c>
      <c r="E21" s="253" t="n">
        <v>-5.77</v>
      </c>
      <c r="F21" s="261" t="n">
        <v>0.1</v>
      </c>
      <c r="G21" s="262" t="n">
        <v>-5.87</v>
      </c>
      <c r="H21" s="263" t="n">
        <v>32</v>
      </c>
      <c r="I21" s="264" t="n">
        <v>95</v>
      </c>
      <c r="J21" s="71" t="inlineStr">
        <is>
          <t>Tradow, 林滄海</t>
        </is>
      </c>
      <c r="K21" s="265" t="inlineStr">
        <is>
          <t>個股弱勢 (跑輸大盤 &gt;2pp)</t>
        </is>
      </c>
    </row>
    <row r="22">
      <c r="B22" s="249" t="inlineStr">
        <is>
          <t>2026/08/17</t>
        </is>
      </c>
      <c r="C22" s="249" t="inlineStr">
        <is>
          <t>08/18</t>
        </is>
      </c>
      <c r="D22" s="249" t="inlineStr">
        <is>
          <t>群聯(8299)</t>
        </is>
      </c>
      <c r="E22" s="253" t="n">
        <v>-4.08</v>
      </c>
      <c r="F22" s="261" t="n">
        <v>0.1</v>
      </c>
      <c r="G22" s="262" t="n">
        <v>-4.18</v>
      </c>
      <c r="H22" s="263" t="n">
        <v>36.2</v>
      </c>
      <c r="I22" s="264" t="n">
        <v>95</v>
      </c>
      <c r="J22" s="71" t="inlineStr">
        <is>
          <t>林滄海</t>
        </is>
      </c>
      <c r="K22" s="265" t="inlineStr">
        <is>
          <t>個股弱勢 (跑輸大盤 &gt;2pp)</t>
        </is>
      </c>
    </row>
    <row r="23">
      <c r="B23" s="249" t="inlineStr">
        <is>
          <t>2026/08/17</t>
        </is>
      </c>
      <c r="C23" s="249" t="inlineStr">
        <is>
          <t>08/18</t>
        </is>
      </c>
      <c r="D23" s="249" t="inlineStr">
        <is>
          <t>華邦電(2344)</t>
        </is>
      </c>
      <c r="E23" s="253" t="n">
        <v>-2.75</v>
      </c>
      <c r="F23" s="261" t="n">
        <v>0.1</v>
      </c>
      <c r="G23" s="262" t="n">
        <v>-2.85</v>
      </c>
      <c r="H23" s="263" t="n">
        <v>27.5</v>
      </c>
      <c r="I23" s="264" t="n">
        <v>95</v>
      </c>
      <c r="J23" s="71" t="inlineStr">
        <is>
          <t>Tradow, 林滄海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國巨*(2327)</t>
        </is>
      </c>
      <c r="E24" s="253" t="n">
        <v>-2.25</v>
      </c>
      <c r="F24" s="261" t="n">
        <v>-0.46</v>
      </c>
      <c r="G24" s="262" t="n">
        <v>-1.79</v>
      </c>
      <c r="H24" s="263" t="n">
        <v>35.09999999999999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嘉澤(3533)</t>
        </is>
      </c>
      <c r="E25" s="253" t="n">
        <v>-1.16</v>
      </c>
      <c r="F25" s="261" t="n">
        <v>-0.46</v>
      </c>
      <c r="G25" s="262" t="n">
        <v>-0.7</v>
      </c>
      <c r="H25" s="266" t="n">
        <v>57.3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華新科(2492)</t>
        </is>
      </c>
      <c r="E26" s="253" t="n">
        <v>-3.64</v>
      </c>
      <c r="F26" s="261" t="n">
        <v>-0.46</v>
      </c>
      <c r="G26" s="262" t="n">
        <v>-3.18</v>
      </c>
      <c r="H26" s="263" t="n">
        <v>26.8</v>
      </c>
      <c r="I26" s="264" t="n">
        <v>95</v>
      </c>
      <c r="J26" s="71" t="inlineStr">
        <is>
          <t>巨人傑</t>
        </is>
      </c>
      <c r="K26" s="265" t="inlineStr">
        <is>
          <t>個股弱勢 (跑輸大盤 &gt;2pp)</t>
        </is>
      </c>
    </row>
    <row r="27">
      <c r="B27" s="249" t="inlineStr">
        <is>
          <t>2026/08/14</t>
        </is>
      </c>
      <c r="C27" s="249" t="inlineStr">
        <is>
          <t>08/17</t>
        </is>
      </c>
      <c r="D27" s="249" t="inlineStr">
        <is>
          <t>微星(2377)</t>
        </is>
      </c>
      <c r="E27" s="253" t="n">
        <v>-5.97</v>
      </c>
      <c r="F27" s="261" t="n">
        <v>-0.46</v>
      </c>
      <c r="G27" s="262" t="n">
        <v>-5.51</v>
      </c>
      <c r="H27" s="263" t="n">
        <v>19.7</v>
      </c>
      <c r="I27" s="264" t="n">
        <v>95</v>
      </c>
      <c r="J27" s="71" t="inlineStr">
        <is>
          <t>巨人傑</t>
        </is>
      </c>
      <c r="K27" s="265" t="inlineStr">
        <is>
          <t>個股弱勢 (跑輸大盤 &gt;2pp)</t>
        </is>
      </c>
    </row>
    <row r="28">
      <c r="B28" s="249" t="inlineStr">
        <is>
          <t>2026/08/14</t>
        </is>
      </c>
      <c r="C28" s="249" t="inlineStr">
        <is>
          <t>08/17</t>
        </is>
      </c>
      <c r="D28" s="249" t="inlineStr">
        <is>
          <t>鴻海(2317)</t>
        </is>
      </c>
      <c r="E28" s="253" t="n">
        <v>-1.73</v>
      </c>
      <c r="F28" s="261" t="n">
        <v>-0.46</v>
      </c>
      <c r="G28" s="262" t="n">
        <v>-1.27</v>
      </c>
      <c r="H28" s="263" t="n">
        <v>35.4</v>
      </c>
      <c r="I28" s="264" t="n">
        <v>95</v>
      </c>
      <c r="J28" s="71" t="inlineStr">
        <is>
          <t>巨人傑</t>
        </is>
      </c>
      <c r="K28" s="265" t="inlineStr">
        <is>
          <t>alpha noise (個股無系統性原因)</t>
        </is>
      </c>
    </row>
    <row r="29">
      <c r="B29" s="249" t="inlineStr">
        <is>
          <t>2026/08/14</t>
        </is>
      </c>
      <c r="C29" s="249" t="inlineStr">
        <is>
          <t>08/17</t>
        </is>
      </c>
      <c r="D29" s="249" t="inlineStr">
        <is>
          <t>中鋼(2002)</t>
        </is>
      </c>
      <c r="E29" s="253" t="n">
        <v>-0.79</v>
      </c>
      <c r="F29" s="261" t="n">
        <v>-0.46</v>
      </c>
      <c r="G29" s="262" t="n">
        <v>-0.33</v>
      </c>
      <c r="H29" s="266" t="n">
        <v>56.7</v>
      </c>
      <c r="I29" s="264" t="n">
        <v>95</v>
      </c>
      <c r="J29" s="71" t="inlineStr">
        <is>
          <t>巨人傑</t>
        </is>
      </c>
      <c r="K29" s="265" t="inlineStr">
        <is>
          <t>假共識 (領頭獨佔 ≥50%)</t>
        </is>
      </c>
    </row>
    <row r="30">
      <c r="B30" s="249" t="inlineStr">
        <is>
          <t>2026/08/14</t>
        </is>
      </c>
      <c r="C30" s="249" t="inlineStr">
        <is>
          <t>08/17</t>
        </is>
      </c>
      <c r="D30" s="249" t="inlineStr">
        <is>
          <t>金居(8358)</t>
        </is>
      </c>
      <c r="E30" s="253" t="n">
        <v>-2.1</v>
      </c>
      <c r="F30" s="261" t="n">
        <v>-0.46</v>
      </c>
      <c r="G30" s="262" t="n">
        <v>-1.64</v>
      </c>
      <c r="H30" s="263" t="n">
        <v>26.9</v>
      </c>
      <c r="I30" s="264" t="n">
        <v>95</v>
      </c>
      <c r="J30" s="71" t="inlineStr">
        <is>
          <t>巨人傑</t>
        </is>
      </c>
      <c r="K30" s="265" t="inlineStr">
        <is>
          <t>alpha noise (個股無系統性原因)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京元電子(2449)</t>
        </is>
      </c>
      <c r="E31" s="253" t="n">
        <v>-2.56</v>
      </c>
      <c r="F31" s="261" t="n">
        <v>1.11</v>
      </c>
      <c r="G31" s="262" t="n">
        <v>-3.67</v>
      </c>
      <c r="H31" s="263" t="n">
        <v>25.7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鴻海(2317)</t>
        </is>
      </c>
      <c r="E32" s="253" t="n">
        <v>-0.95</v>
      </c>
      <c r="F32" s="261" t="n">
        <v>1.11</v>
      </c>
      <c r="G32" s="262" t="n">
        <v>-2.06</v>
      </c>
      <c r="H32" s="263" t="n">
        <v>30.2</v>
      </c>
      <c r="I32" s="264" t="n">
        <v>95</v>
      </c>
      <c r="J32" s="71" t="inlineStr">
        <is>
          <t>迷你哥/松山哥</t>
        </is>
      </c>
      <c r="K32" s="265" t="inlineStr">
        <is>
          <t>個股弱勢 (跑輸大盤 &gt;2pp)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嘉澤(3533)</t>
        </is>
      </c>
      <c r="E33" s="253" t="n">
        <v>-4.97</v>
      </c>
      <c r="F33" s="261" t="n">
        <v>1.11</v>
      </c>
      <c r="G33" s="262" t="n">
        <v>-6.08</v>
      </c>
      <c r="H33" s="263" t="n">
        <v>26.6</v>
      </c>
      <c r="I33" s="264" t="n">
        <v>95</v>
      </c>
      <c r="J33" s="71" t="inlineStr">
        <is>
          <t>迷你哥/松山哥</t>
        </is>
      </c>
      <c r="K33" s="265" t="inlineStr">
        <is>
          <t>個股弱勢 (跑輸大盤 &gt;2pp)</t>
        </is>
      </c>
    </row>
    <row r="34">
      <c r="B34" s="249" t="inlineStr">
        <is>
          <t>2026/08/13</t>
        </is>
      </c>
      <c r="C34" s="249" t="inlineStr">
        <is>
          <t>08/14</t>
        </is>
      </c>
      <c r="D34" s="249" t="inlineStr">
        <is>
          <t>穩懋(3105)</t>
        </is>
      </c>
      <c r="E34" s="253" t="n">
        <v>-2.33</v>
      </c>
      <c r="F34" s="261" t="n">
        <v>1.11</v>
      </c>
      <c r="G34" s="262" t="n">
        <v>-3.44</v>
      </c>
      <c r="H34" s="266" t="n">
        <v>54.6</v>
      </c>
      <c r="I34" s="264" t="n">
        <v>95</v>
      </c>
      <c r="J34" s="71" t="inlineStr">
        <is>
          <t>迷你哥/松山哥</t>
        </is>
      </c>
      <c r="K34" s="265" t="inlineStr">
        <is>
          <t>假共識 (領頭獨佔 ≥50%) | 個股弱勢 (跑輸大盤 &gt;2pp)</t>
        </is>
      </c>
    </row>
    <row r="35">
      <c r="B35" s="249" t="inlineStr">
        <is>
          <t>2026/08/13</t>
        </is>
      </c>
      <c r="C35" s="249" t="inlineStr">
        <is>
          <t>08/14</t>
        </is>
      </c>
      <c r="D35" s="249" t="inlineStr">
        <is>
          <t>禾伸堂(3026)</t>
        </is>
      </c>
      <c r="E35" s="253" t="n">
        <v>-6.37</v>
      </c>
      <c r="F35" s="261" t="n">
        <v>1.11</v>
      </c>
      <c r="G35" s="262" t="n">
        <v>-7.48</v>
      </c>
      <c r="H35" s="263" t="n">
        <v>44.6</v>
      </c>
      <c r="I35" s="264" t="n">
        <v>95</v>
      </c>
      <c r="J35" s="71" t="inlineStr">
        <is>
          <t>迷你哥/松山哥</t>
        </is>
      </c>
      <c r="K35" s="265" t="inlineStr">
        <is>
          <t>個股弱勢 (跑輸大盤 &gt;2pp)</t>
        </is>
      </c>
    </row>
    <row r="36">
      <c r="B36" s="249" t="inlineStr">
        <is>
          <t>2026/08/13</t>
        </is>
      </c>
      <c r="C36" s="249" t="inlineStr">
        <is>
          <t>08/14</t>
        </is>
      </c>
      <c r="D36" s="249" t="inlineStr">
        <is>
          <t>華南金(2880)</t>
        </is>
      </c>
      <c r="E36" s="253" t="n">
        <v>-0.38</v>
      </c>
      <c r="F36" s="261" t="n">
        <v>1.11</v>
      </c>
      <c r="G36" s="262" t="n">
        <v>-1.49</v>
      </c>
      <c r="H36" s="263" t="n">
        <v>34.9</v>
      </c>
      <c r="I36" s="264" t="n">
        <v>95</v>
      </c>
      <c r="J36" s="71" t="inlineStr">
        <is>
          <t>迷你哥/松山哥</t>
        </is>
      </c>
      <c r="K36" s="265" t="inlineStr">
        <is>
          <t>alpha noise (個股無系統性原因)</t>
        </is>
      </c>
    </row>
    <row r="37">
      <c r="B37" s="249" t="inlineStr">
        <is>
          <t>2026/08/13</t>
        </is>
      </c>
      <c r="C37" s="249" t="inlineStr">
        <is>
          <t>08/14</t>
        </is>
      </c>
      <c r="D37" s="249" t="inlineStr">
        <is>
          <t>光聖(6442)</t>
        </is>
      </c>
      <c r="E37" s="253" t="n">
        <v>-0.32</v>
      </c>
      <c r="F37" s="261" t="n">
        <v>1.11</v>
      </c>
      <c r="G37" s="262" t="n">
        <v>-1.43</v>
      </c>
      <c r="H37" s="263" t="n">
        <v>22.8</v>
      </c>
      <c r="I37" s="264" t="n">
        <v>95</v>
      </c>
      <c r="J37" s="71" t="inlineStr">
        <is>
          <t>迷你哥/松山哥</t>
        </is>
      </c>
      <c r="K37" s="265" t="inlineStr">
        <is>
          <t>alpha noise (個股無系統性原因)</t>
        </is>
      </c>
    </row>
    <row r="40" ht="60" customHeight="1">
      <c r="B40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1"/>
    <row r="42"/>
    <row r="43"/>
  </sheetData>
  <mergeCells count="3">
    <mergeCell ref="B4:K4"/>
    <mergeCell ref="B40:K4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21/21 交易日出手 1009 次 (325 檔), 風格分布: 隔日沖近似 33% / 當沖 15% / 留倉 52%, 漲停命中 3% (其中 🔒鎖漲停 2%), 前 5 大集中 18%, ⚠️ 處置股部位 4% (13 檔), 📦 連續囤貨 19 檔 (最長 8 天 00406A, 4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14371</v>
      </c>
      <c r="F12" s="33" t="n">
        <v>0</v>
      </c>
      <c r="G12" s="183" t="n">
        <v>-0.0242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8748</v>
      </c>
      <c r="F13" s="33" t="n">
        <v>0</v>
      </c>
      <c r="G13" s="183" t="n">
        <v>-0.0018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8664</v>
      </c>
      <c r="F14" s="33" t="n">
        <v>0</v>
      </c>
      <c r="G14" s="184" t="n">
        <v>0.0992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3" t="n">
        <v>7342</v>
      </c>
      <c r="F15" s="33" t="n">
        <v>0</v>
      </c>
      <c r="G15" s="183" t="n">
        <v>-0.0308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5747</v>
      </c>
      <c r="F16" s="33" t="n">
        <v>0</v>
      </c>
      <c r="G16" s="183" t="n">
        <v>-0.0425</v>
      </c>
    </row>
    <row r="17">
      <c r="B17" t="n">
        <v>6</v>
      </c>
      <c r="C17" t="inlineStr">
        <is>
          <t>5425</t>
        </is>
      </c>
      <c r="D17" t="inlineStr">
        <is>
          <t>台半</t>
        </is>
      </c>
      <c r="E17" s="33" t="n">
        <v>5168</v>
      </c>
      <c r="F17" s="33" t="n">
        <v>0</v>
      </c>
      <c r="G17" s="184" t="n">
        <v>0.0116</v>
      </c>
    </row>
    <row r="18">
      <c r="B18" t="n">
        <v>7</v>
      </c>
      <c r="C18" t="inlineStr">
        <is>
          <t>3189</t>
        </is>
      </c>
      <c r="D18" t="inlineStr">
        <is>
          <t>景碩</t>
        </is>
      </c>
      <c r="E18" s="33" t="n">
        <v>4598</v>
      </c>
      <c r="F18" s="33" t="n">
        <v>0</v>
      </c>
      <c r="G18" s="183" t="n">
        <v>-0.0164</v>
      </c>
    </row>
    <row r="19">
      <c r="B19" t="n">
        <v>8</v>
      </c>
      <c r="C19" t="inlineStr">
        <is>
          <t>3443</t>
        </is>
      </c>
      <c r="D19" t="inlineStr">
        <is>
          <t>創意</t>
        </is>
      </c>
      <c r="E19" s="33" t="n">
        <v>4585</v>
      </c>
      <c r="F19" s="33" t="n">
        <v>0</v>
      </c>
      <c r="G19" s="184" t="n">
        <v>0.016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3811</v>
      </c>
      <c r="F20" s="33" t="n">
        <v>0</v>
      </c>
      <c r="G20" s="184" t="n">
        <v>0.0508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3410</v>
      </c>
      <c r="F21" s="33" t="n">
        <v>0</v>
      </c>
      <c r="G21" s="183" t="n">
        <v>-0.0284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大立光(3008)</t>
        </is>
      </c>
      <c r="E2" s="88" t="n">
        <v>33</v>
      </c>
      <c r="F2" s="88" t="n">
        <v>3</v>
      </c>
      <c r="G2" s="88" t="n">
        <v>23552</v>
      </c>
      <c r="H2" s="88" t="n">
        <v>2384</v>
      </c>
      <c r="I2" s="88" t="n">
        <v>21168</v>
      </c>
      <c r="J2" s="89" t="n">
        <v>7136.91</v>
      </c>
      <c r="K2" s="89" t="n">
        <v>7945</v>
      </c>
      <c r="L2" s="191">
        <f>F2*(K2-J2)</f>
        <v/>
      </c>
    </row>
    <row r="3" ht="16.5" customHeight="1">
      <c r="A3" s="91" t="n"/>
      <c r="B3" s="91" t="n"/>
      <c r="C3" s="91" t="n"/>
      <c r="D3" s="87" t="inlineStr">
        <is>
          <t>南亞科(2408)</t>
        </is>
      </c>
      <c r="E3" s="88" t="n">
        <v>352</v>
      </c>
      <c r="F3" s="88" t="n">
        <v>230</v>
      </c>
      <c r="G3" s="88" t="n">
        <v>19324</v>
      </c>
      <c r="H3" s="88" t="n">
        <v>12661</v>
      </c>
      <c r="I3" s="88" t="n">
        <v>6663</v>
      </c>
      <c r="J3" s="89" t="n">
        <v>548.98</v>
      </c>
      <c r="K3" s="89" t="n">
        <v>550.47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18</v>
      </c>
      <c r="F4" s="88" t="n">
        <v>1</v>
      </c>
      <c r="G4" s="88" t="n">
        <v>11013</v>
      </c>
      <c r="H4" s="88" t="n">
        <v>21</v>
      </c>
      <c r="I4" s="88" t="n">
        <v>10992</v>
      </c>
      <c r="J4" s="89" t="n">
        <v>6118.44</v>
      </c>
      <c r="K4" s="89" t="n">
        <v>211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凱美(2375)</t>
        </is>
      </c>
      <c r="E5" s="88" t="n">
        <v>130</v>
      </c>
      <c r="F5" s="88" t="n">
        <v>6</v>
      </c>
      <c r="G5" s="88" t="n">
        <v>1812</v>
      </c>
      <c r="H5" s="88" t="n">
        <v>86</v>
      </c>
      <c r="I5" s="88" t="n">
        <v>1726</v>
      </c>
      <c r="J5" s="89" t="n">
        <v>139.37</v>
      </c>
      <c r="K5" s="89" t="n">
        <v>142.83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直得(1597)</t>
        </is>
      </c>
      <c r="E6" s="88" t="n">
        <v>120</v>
      </c>
      <c r="F6" s="88" t="n">
        <v>2</v>
      </c>
      <c r="G6" s="88" t="n">
        <v>1713</v>
      </c>
      <c r="H6" s="88" t="n">
        <v>30</v>
      </c>
      <c r="I6" s="88" t="n">
        <v>1683</v>
      </c>
      <c r="J6" s="89" t="n">
        <v>142.75</v>
      </c>
      <c r="K6" s="89" t="n">
        <v>152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波若威(3163)</t>
        </is>
      </c>
      <c r="E7" s="88" t="n">
        <v>21</v>
      </c>
      <c r="F7" s="88" t="n">
        <v>5</v>
      </c>
      <c r="G7" s="88" t="n">
        <v>1568</v>
      </c>
      <c r="H7" s="88" t="n">
        <v>382</v>
      </c>
      <c r="I7" s="88" t="n">
        <v>1186</v>
      </c>
      <c r="J7" s="89" t="n">
        <v>746.86</v>
      </c>
      <c r="K7" s="89" t="n">
        <v>764.4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日月光投控(3711)</t>
        </is>
      </c>
      <c r="E8" s="88" t="n">
        <v>23</v>
      </c>
      <c r="F8" s="88" t="n">
        <v>8</v>
      </c>
      <c r="G8" s="88" t="n">
        <v>1429</v>
      </c>
      <c r="H8" s="88" t="n">
        <v>467</v>
      </c>
      <c r="I8" s="88" t="n">
        <v>962</v>
      </c>
      <c r="J8" s="89" t="n">
        <v>621.22</v>
      </c>
      <c r="K8" s="89" t="n">
        <v>583.75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亞電(4939)</t>
        </is>
      </c>
      <c r="E9" s="88" t="n">
        <v>151</v>
      </c>
      <c r="F9" s="88" t="n">
        <v>75</v>
      </c>
      <c r="G9" s="88" t="n">
        <v>1398</v>
      </c>
      <c r="H9" s="88" t="n">
        <v>672</v>
      </c>
      <c r="I9" s="88" t="n">
        <v>726</v>
      </c>
      <c r="J9" s="89" t="n">
        <v>92.56</v>
      </c>
      <c r="K9" s="89" t="n">
        <v>89.55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台半(5425)</t>
        </is>
      </c>
      <c r="E10" s="88" t="n">
        <v>134</v>
      </c>
      <c r="F10" s="88" t="n">
        <v>31</v>
      </c>
      <c r="G10" s="88" t="n">
        <v>1328</v>
      </c>
      <c r="H10" s="88" t="n">
        <v>314</v>
      </c>
      <c r="I10" s="88" t="n">
        <v>1014</v>
      </c>
      <c r="J10" s="89" t="n">
        <v>99.06999999999999</v>
      </c>
      <c r="K10" s="89" t="n">
        <v>101.39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華邦電(2344)</t>
        </is>
      </c>
      <c r="E11" s="88" t="n">
        <v>71</v>
      </c>
      <c r="F11" s="88" t="n">
        <v>46</v>
      </c>
      <c r="G11" s="88" t="n">
        <v>1326</v>
      </c>
      <c r="H11" s="88" t="n">
        <v>845</v>
      </c>
      <c r="I11" s="88" t="n">
        <v>481</v>
      </c>
      <c r="J11" s="89" t="n">
        <v>186.75</v>
      </c>
      <c r="K11" s="89" t="n">
        <v>183.65</v>
      </c>
      <c r="L11" s="192">
        <f>F11*(K11-J11)</f>
        <v/>
      </c>
    </row>
    <row r="12" ht="16.5" customHeight="1">
      <c r="A12" s="93" t="n"/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A13" s="91" t="n"/>
      <c r="B13" s="86" t="inlineStr">
        <is>
          <t>富邦-南屯</t>
        </is>
      </c>
      <c r="C13" s="86" t="inlineStr">
        <is>
          <t>9666</t>
        </is>
      </c>
      <c r="D13" s="87" t="inlineStr">
        <is>
          <t>國巨*(2327)</t>
        </is>
      </c>
      <c r="E13" s="88" t="n">
        <v>221</v>
      </c>
      <c r="F13" s="88" t="n">
        <v>165</v>
      </c>
      <c r="G13" s="88" t="n">
        <v>13262</v>
      </c>
      <c r="H13" s="88" t="n">
        <v>9815</v>
      </c>
      <c r="I13" s="88" t="n">
        <v>3447</v>
      </c>
      <c r="J13" s="89" t="n">
        <v>600.11</v>
      </c>
      <c r="K13" s="89" t="n">
        <v>594.85</v>
      </c>
      <c r="L13" s="192">
        <f>F13*(K13-J13)</f>
        <v/>
      </c>
    </row>
    <row r="14" ht="16.5" customHeight="1">
      <c r="A14" s="91" t="n"/>
      <c r="B14" s="91" t="n"/>
      <c r="C14" s="91" t="n"/>
      <c r="D14" s="87" t="inlineStr">
        <is>
          <t>南俊國際(6584)</t>
        </is>
      </c>
      <c r="E14" s="88" t="n">
        <v>133</v>
      </c>
      <c r="F14" s="88" t="n">
        <v>81</v>
      </c>
      <c r="G14" s="88" t="n">
        <v>9064</v>
      </c>
      <c r="H14" s="88" t="n">
        <v>5352</v>
      </c>
      <c r="I14" s="88" t="n">
        <v>3712</v>
      </c>
      <c r="J14" s="89" t="n">
        <v>681.5</v>
      </c>
      <c r="K14" s="89" t="n">
        <v>660.74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景碩(3189)</t>
        </is>
      </c>
      <c r="E15" s="88" t="n">
        <v>62</v>
      </c>
      <c r="F15" s="88" t="n">
        <v>13</v>
      </c>
      <c r="G15" s="88" t="n">
        <v>5579</v>
      </c>
      <c r="H15" s="88" t="n">
        <v>1213</v>
      </c>
      <c r="I15" s="88" t="n">
        <v>4366</v>
      </c>
      <c r="J15" s="89" t="n">
        <v>899.85</v>
      </c>
      <c r="K15" s="89" t="n">
        <v>933.3099999999999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京元電子(2449)</t>
        </is>
      </c>
      <c r="E16" s="88" t="n">
        <v>171</v>
      </c>
      <c r="F16" s="88" t="n">
        <v>61</v>
      </c>
      <c r="G16" s="88" t="n">
        <v>4621</v>
      </c>
      <c r="H16" s="88" t="n">
        <v>1625</v>
      </c>
      <c r="I16" s="88" t="n">
        <v>2996</v>
      </c>
      <c r="J16" s="89" t="n">
        <v>270.25</v>
      </c>
      <c r="K16" s="89" t="n">
        <v>266.41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華邦電(2344)</t>
        </is>
      </c>
      <c r="E17" s="88" t="n">
        <v>226</v>
      </c>
      <c r="F17" s="88" t="n">
        <v>124</v>
      </c>
      <c r="G17" s="88" t="n">
        <v>4178</v>
      </c>
      <c r="H17" s="88" t="n">
        <v>2308</v>
      </c>
      <c r="I17" s="88" t="n">
        <v>1870</v>
      </c>
      <c r="J17" s="89" t="n">
        <v>184.85</v>
      </c>
      <c r="K17" s="89" t="n">
        <v>186.15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AMAX-KY(6933)</t>
        </is>
      </c>
      <c r="E18" s="88" t="n">
        <v>122</v>
      </c>
      <c r="F18" s="88" t="n">
        <v>21</v>
      </c>
      <c r="G18" s="88" t="n">
        <v>3172</v>
      </c>
      <c r="H18" s="88" t="n">
        <v>549</v>
      </c>
      <c r="I18" s="88" t="n">
        <v>2623</v>
      </c>
      <c r="J18" s="89" t="n">
        <v>260</v>
      </c>
      <c r="K18" s="89" t="n">
        <v>261.24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台積電(2330)</t>
        </is>
      </c>
      <c r="E19" s="88" t="n">
        <v>10</v>
      </c>
      <c r="F19" s="88" t="n">
        <v>9</v>
      </c>
      <c r="G19" s="88" t="n">
        <v>2494</v>
      </c>
      <c r="H19" s="88" t="n">
        <v>2094</v>
      </c>
      <c r="I19" s="88" t="n">
        <v>400</v>
      </c>
      <c r="J19" s="89" t="n">
        <v>2494.4</v>
      </c>
      <c r="K19" s="89" t="n">
        <v>2327.11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漢翔(2634)</t>
        </is>
      </c>
      <c r="E20" s="88" t="n">
        <v>328</v>
      </c>
      <c r="F20" s="88" t="n">
        <v>26</v>
      </c>
      <c r="G20" s="88" t="n">
        <v>2298</v>
      </c>
      <c r="H20" s="88" t="n">
        <v>179</v>
      </c>
      <c r="I20" s="88" t="n">
        <v>2119</v>
      </c>
      <c r="J20" s="89" t="n">
        <v>70.05</v>
      </c>
      <c r="K20" s="89" t="n">
        <v>68.92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雷虎(8033)</t>
        </is>
      </c>
      <c r="E21" s="88" t="n">
        <v>101</v>
      </c>
      <c r="F21" s="88" t="n">
        <v>37</v>
      </c>
      <c r="G21" s="88" t="n">
        <v>1965</v>
      </c>
      <c r="H21" s="88" t="n">
        <v>699</v>
      </c>
      <c r="I21" s="88" t="n">
        <v>1266</v>
      </c>
      <c r="J21" s="89" t="n">
        <v>194.51</v>
      </c>
      <c r="K21" s="89" t="n">
        <v>188.86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環球晶(6488)</t>
        </is>
      </c>
      <c r="E22" s="88" t="n">
        <v>19</v>
      </c>
      <c r="F22" s="88" t="n">
        <v>15</v>
      </c>
      <c r="G22" s="88" t="n">
        <v>1808</v>
      </c>
      <c r="H22" s="88" t="n">
        <v>1432</v>
      </c>
      <c r="I22" s="88" t="n">
        <v>376</v>
      </c>
      <c r="J22" s="89" t="n">
        <v>951.6799999999999</v>
      </c>
      <c r="K22" s="89" t="n">
        <v>954.8</v>
      </c>
      <c r="L22" s="191">
        <f>F22*(K22-J22)</f>
        <v/>
      </c>
    </row>
    <row r="23" ht="16.5" customHeight="1">
      <c r="A23" s="93" t="n"/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A24" s="91" t="n"/>
      <c r="B24" s="86" t="inlineStr">
        <is>
          <t>國票-彰化</t>
        </is>
      </c>
      <c r="C24" s="86" t="inlineStr">
        <is>
          <t>779W</t>
        </is>
      </c>
      <c r="D24" s="87" t="inlineStr">
        <is>
          <t>鴻勁(7769)</t>
        </is>
      </c>
      <c r="E24" s="88" t="n">
        <v>3</v>
      </c>
      <c r="F24" s="88" t="n">
        <v>0</v>
      </c>
      <c r="G24" s="88" t="n">
        <v>1741</v>
      </c>
      <c r="H24" s="88" t="n">
        <v>0</v>
      </c>
      <c r="I24" s="88" t="n">
        <v>1741</v>
      </c>
      <c r="J24" s="89" t="n">
        <v>5804.67</v>
      </c>
      <c r="K24" s="89" t="n">
        <v>0</v>
      </c>
      <c r="L24" s="191">
        <f>F24*(K24-J24)</f>
        <v/>
      </c>
    </row>
    <row r="25" ht="16.5" customHeight="1">
      <c r="A25" s="91" t="n"/>
      <c r="B25" s="91" t="n"/>
      <c r="C25" s="91" t="n"/>
      <c r="D25" s="87" t="inlineStr">
        <is>
          <t>禾伸堂(3026)</t>
        </is>
      </c>
      <c r="E25" s="88" t="n">
        <v>23</v>
      </c>
      <c r="F25" s="88" t="n">
        <v>9</v>
      </c>
      <c r="G25" s="88" t="n">
        <v>1702</v>
      </c>
      <c r="H25" s="88" t="n">
        <v>678</v>
      </c>
      <c r="I25" s="88" t="n">
        <v>1024</v>
      </c>
      <c r="J25" s="89" t="n">
        <v>740.22</v>
      </c>
      <c r="K25" s="89" t="n">
        <v>753.33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南亞科(2408)</t>
        </is>
      </c>
      <c r="E26" s="88" t="n">
        <v>25</v>
      </c>
      <c r="F26" s="88" t="n">
        <v>22</v>
      </c>
      <c r="G26" s="88" t="n">
        <v>1327</v>
      </c>
      <c r="H26" s="88" t="n">
        <v>1170</v>
      </c>
      <c r="I26" s="88" t="n">
        <v>157</v>
      </c>
      <c r="J26" s="89" t="n">
        <v>530.84</v>
      </c>
      <c r="K26" s="89" t="n">
        <v>532.05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17</v>
      </c>
      <c r="F27" s="88" t="n">
        <v>7</v>
      </c>
      <c r="G27" s="88" t="n">
        <v>1035</v>
      </c>
      <c r="H27" s="88" t="n">
        <v>402</v>
      </c>
      <c r="I27" s="88" t="n">
        <v>633</v>
      </c>
      <c r="J27" s="89" t="n">
        <v>608.8200000000001</v>
      </c>
      <c r="K27" s="89" t="n">
        <v>574.14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雍智科技(6683)</t>
        </is>
      </c>
      <c r="E28" s="88" t="n">
        <v>7</v>
      </c>
      <c r="F28" s="88" t="n">
        <v>6</v>
      </c>
      <c r="G28" s="88" t="n">
        <v>836</v>
      </c>
      <c r="H28" s="88" t="n">
        <v>716</v>
      </c>
      <c r="I28" s="88" t="n">
        <v>120</v>
      </c>
      <c r="J28" s="89" t="n">
        <v>1195</v>
      </c>
      <c r="K28" s="89" t="n">
        <v>1194.17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玉晶光(3406)</t>
        </is>
      </c>
      <c r="E29" s="88" t="n">
        <v>8</v>
      </c>
      <c r="F29" s="88" t="n">
        <v>2</v>
      </c>
      <c r="G29" s="88" t="n">
        <v>719</v>
      </c>
      <c r="H29" s="88" t="n">
        <v>196</v>
      </c>
      <c r="I29" s="88" t="n">
        <v>523</v>
      </c>
      <c r="J29" s="89" t="n">
        <v>899.25</v>
      </c>
      <c r="K29" s="89" t="n">
        <v>981.5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華邦電(2344)</t>
        </is>
      </c>
      <c r="E30" s="88" t="n">
        <v>32</v>
      </c>
      <c r="F30" s="88" t="n">
        <v>10</v>
      </c>
      <c r="G30" s="88" t="n">
        <v>596</v>
      </c>
      <c r="H30" s="88" t="n">
        <v>186</v>
      </c>
      <c r="I30" s="88" t="n">
        <v>410</v>
      </c>
      <c r="J30" s="89" t="n">
        <v>186.31</v>
      </c>
      <c r="K30" s="89" t="n">
        <v>185.7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台達電(2308)</t>
        </is>
      </c>
      <c r="E31" s="88" t="n">
        <v>3</v>
      </c>
      <c r="F31" s="88" t="n">
        <v>2</v>
      </c>
      <c r="G31" s="88" t="n">
        <v>581</v>
      </c>
      <c r="H31" s="88" t="n">
        <v>376</v>
      </c>
      <c r="I31" s="88" t="n">
        <v>205</v>
      </c>
      <c r="J31" s="89" t="n">
        <v>1935.33</v>
      </c>
      <c r="K31" s="89" t="n">
        <v>1877.5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日月光投控(3711)</t>
        </is>
      </c>
      <c r="E32" s="88" t="n">
        <v>9</v>
      </c>
      <c r="F32" s="88" t="n">
        <v>8</v>
      </c>
      <c r="G32" s="88" t="n">
        <v>569</v>
      </c>
      <c r="H32" s="88" t="n">
        <v>492</v>
      </c>
      <c r="I32" s="88" t="n">
        <v>77</v>
      </c>
      <c r="J32" s="89" t="n">
        <v>631.78</v>
      </c>
      <c r="K32" s="89" t="n">
        <v>615.38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金像電(2368)</t>
        </is>
      </c>
      <c r="E33" s="88" t="n">
        <v>4</v>
      </c>
      <c r="F33" s="88" t="n">
        <v>2</v>
      </c>
      <c r="G33" s="88" t="n">
        <v>448</v>
      </c>
      <c r="H33" s="88" t="n">
        <v>279</v>
      </c>
      <c r="I33" s="88" t="n">
        <v>169</v>
      </c>
      <c r="J33" s="89" t="n">
        <v>1120</v>
      </c>
      <c r="K33" s="89" t="n">
        <v>1396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南亞科(2408)</t>
        </is>
      </c>
      <c r="E35" s="97" t="n">
        <v>156</v>
      </c>
      <c r="F35" s="97" t="n">
        <v>129</v>
      </c>
      <c r="G35" s="97" t="n">
        <v>8436</v>
      </c>
      <c r="H35" s="97" t="n">
        <v>6941</v>
      </c>
      <c r="I35" s="97" t="n">
        <v>1495</v>
      </c>
      <c r="J35" s="98" t="n">
        <v>540.76</v>
      </c>
      <c r="K35" s="98" t="n">
        <v>538.09</v>
      </c>
      <c r="L35" s="192">
        <f>F35*(K35-J35)</f>
        <v/>
      </c>
    </row>
    <row r="36" ht="16.5" customHeight="1">
      <c r="A36" s="99" t="n"/>
      <c r="B36" s="99" t="n"/>
      <c r="C36" s="99" t="n"/>
      <c r="D36" s="96" t="inlineStr">
        <is>
          <t>定穎投控(3715)</t>
        </is>
      </c>
      <c r="E36" s="97" t="n">
        <v>544</v>
      </c>
      <c r="F36" s="97" t="n">
        <v>17</v>
      </c>
      <c r="G36" s="97" t="n">
        <v>6648</v>
      </c>
      <c r="H36" s="97" t="n">
        <v>202</v>
      </c>
      <c r="I36" s="97" t="n">
        <v>6446</v>
      </c>
      <c r="J36" s="98" t="n">
        <v>122.2</v>
      </c>
      <c r="K36" s="98" t="n">
        <v>119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波若威(3163)</t>
        </is>
      </c>
      <c r="E37" s="97" t="n">
        <v>86</v>
      </c>
      <c r="F37" s="97" t="n">
        <v>14</v>
      </c>
      <c r="G37" s="97" t="n">
        <v>6485</v>
      </c>
      <c r="H37" s="97" t="n">
        <v>1100</v>
      </c>
      <c r="I37" s="97" t="n">
        <v>5385</v>
      </c>
      <c r="J37" s="98" t="n">
        <v>754.03</v>
      </c>
      <c r="K37" s="98" t="n">
        <v>785.71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南亞(1303)</t>
        </is>
      </c>
      <c r="E38" s="97" t="n">
        <v>279</v>
      </c>
      <c r="F38" s="97" t="n">
        <v>215</v>
      </c>
      <c r="G38" s="97" t="n">
        <v>6364</v>
      </c>
      <c r="H38" s="97" t="n">
        <v>4836</v>
      </c>
      <c r="I38" s="97" t="n">
        <v>1528</v>
      </c>
      <c r="J38" s="98" t="n">
        <v>228.12</v>
      </c>
      <c r="K38" s="98" t="n">
        <v>224.93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南電(8046)</t>
        </is>
      </c>
      <c r="E39" s="97" t="n">
        <v>44</v>
      </c>
      <c r="F39" s="97" t="n">
        <v>25</v>
      </c>
      <c r="G39" s="97" t="n">
        <v>5435</v>
      </c>
      <c r="H39" s="97" t="n">
        <v>3102</v>
      </c>
      <c r="I39" s="97" t="n">
        <v>2333</v>
      </c>
      <c r="J39" s="98" t="n">
        <v>1235.18</v>
      </c>
      <c r="K39" s="98" t="n">
        <v>1240.68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富邦金(2881)</t>
        </is>
      </c>
      <c r="E40" s="97" t="n">
        <v>372</v>
      </c>
      <c r="F40" s="97" t="n">
        <v>34</v>
      </c>
      <c r="G40" s="97" t="n">
        <v>5348</v>
      </c>
      <c r="H40" s="97" t="n">
        <v>491</v>
      </c>
      <c r="I40" s="97" t="n">
        <v>4857</v>
      </c>
      <c r="J40" s="98" t="n">
        <v>143.75</v>
      </c>
      <c r="K40" s="98" t="n">
        <v>144.29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智邦(2345)</t>
        </is>
      </c>
      <c r="E41" s="97" t="n">
        <v>22</v>
      </c>
      <c r="F41" s="97" t="n">
        <v>4</v>
      </c>
      <c r="G41" s="97" t="n">
        <v>4601</v>
      </c>
      <c r="H41" s="97" t="n">
        <v>925</v>
      </c>
      <c r="I41" s="97" t="n">
        <v>3676</v>
      </c>
      <c r="J41" s="98" t="n">
        <v>2091.32</v>
      </c>
      <c r="K41" s="98" t="n">
        <v>2311.5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華邦電(2344)</t>
        </is>
      </c>
      <c r="E42" s="97" t="n">
        <v>235</v>
      </c>
      <c r="F42" s="97" t="n">
        <v>143</v>
      </c>
      <c r="G42" s="97" t="n">
        <v>4350</v>
      </c>
      <c r="H42" s="97" t="n">
        <v>2647</v>
      </c>
      <c r="I42" s="97" t="n">
        <v>1703</v>
      </c>
      <c r="J42" s="98" t="n">
        <v>185.09</v>
      </c>
      <c r="K42" s="98" t="n">
        <v>185.09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景碩(3189)</t>
        </is>
      </c>
      <c r="E43" s="97" t="n">
        <v>47</v>
      </c>
      <c r="F43" s="97" t="n">
        <v>28</v>
      </c>
      <c r="G43" s="97" t="n">
        <v>4186</v>
      </c>
      <c r="H43" s="97" t="n">
        <v>2496</v>
      </c>
      <c r="I43" s="97" t="n">
        <v>1690</v>
      </c>
      <c r="J43" s="98" t="n">
        <v>890.6799999999999</v>
      </c>
      <c r="K43" s="98" t="n">
        <v>891.25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台虹(8039)</t>
        </is>
      </c>
      <c r="E44" s="97" t="n">
        <v>117</v>
      </c>
      <c r="F44" s="97" t="n">
        <v>81</v>
      </c>
      <c r="G44" s="97" t="n">
        <v>4026</v>
      </c>
      <c r="H44" s="97" t="n">
        <v>2777</v>
      </c>
      <c r="I44" s="97" t="n">
        <v>1249</v>
      </c>
      <c r="J44" s="98" t="n">
        <v>344.08</v>
      </c>
      <c r="K44" s="98" t="n">
        <v>342.8</v>
      </c>
      <c r="L44" s="192">
        <f>F44*(K44-J44)</f>
        <v/>
      </c>
    </row>
    <row r="45" ht="16.5" customHeight="1">
      <c r="A45" s="100" t="n"/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A46" s="99" t="n"/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17</v>
      </c>
      <c r="F46" s="97" t="n">
        <v>1</v>
      </c>
      <c r="G46" s="97" t="n">
        <v>10008</v>
      </c>
      <c r="H46" s="97" t="n">
        <v>575</v>
      </c>
      <c r="I46" s="97" t="n">
        <v>9433</v>
      </c>
      <c r="J46" s="98" t="n">
        <v>5886.88</v>
      </c>
      <c r="K46" s="98" t="n">
        <v>5750</v>
      </c>
      <c r="L46" s="192">
        <f>F46*(K46-J46)</f>
        <v/>
      </c>
    </row>
    <row r="47" ht="16.5" customHeight="1">
      <c r="A47" s="99" t="n"/>
      <c r="B47" s="99" t="n"/>
      <c r="C47" s="99" t="n"/>
      <c r="D47" s="96" t="inlineStr">
        <is>
          <t>國巨*(2327)</t>
        </is>
      </c>
      <c r="E47" s="97" t="n">
        <v>81</v>
      </c>
      <c r="F47" s="97" t="n">
        <v>73</v>
      </c>
      <c r="G47" s="97" t="n">
        <v>4830</v>
      </c>
      <c r="H47" s="97" t="n">
        <v>4363</v>
      </c>
      <c r="I47" s="97" t="n">
        <v>467</v>
      </c>
      <c r="J47" s="98" t="n">
        <v>596.3</v>
      </c>
      <c r="K47" s="98" t="n">
        <v>597.7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南電(8046)</t>
        </is>
      </c>
      <c r="E48" s="97" t="n">
        <v>31</v>
      </c>
      <c r="F48" s="97" t="n">
        <v>3</v>
      </c>
      <c r="G48" s="97" t="n">
        <v>3951</v>
      </c>
      <c r="H48" s="97" t="n">
        <v>405</v>
      </c>
      <c r="I48" s="97" t="n">
        <v>3546</v>
      </c>
      <c r="J48" s="98" t="n">
        <v>1274.42</v>
      </c>
      <c r="K48" s="98" t="n">
        <v>1348.67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大立光(3008)</t>
        </is>
      </c>
      <c r="E49" s="97" t="n">
        <v>5</v>
      </c>
      <c r="F49" s="97" t="n">
        <v>1</v>
      </c>
      <c r="G49" s="97" t="n">
        <v>3516</v>
      </c>
      <c r="H49" s="97" t="n">
        <v>355</v>
      </c>
      <c r="I49" s="97" t="n">
        <v>3161</v>
      </c>
      <c r="J49" s="98" t="n">
        <v>7032.2</v>
      </c>
      <c r="K49" s="98" t="n">
        <v>3546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台虹(8039)</t>
        </is>
      </c>
      <c r="E50" s="97" t="n">
        <v>97</v>
      </c>
      <c r="F50" s="97" t="n">
        <v>34</v>
      </c>
      <c r="G50" s="97" t="n">
        <v>3391</v>
      </c>
      <c r="H50" s="97" t="n">
        <v>1184</v>
      </c>
      <c r="I50" s="97" t="n">
        <v>2207</v>
      </c>
      <c r="J50" s="98" t="n">
        <v>349.59</v>
      </c>
      <c r="K50" s="98" t="n">
        <v>348.09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金像電(2368)</t>
        </is>
      </c>
      <c r="E51" s="97" t="n">
        <v>20</v>
      </c>
      <c r="F51" s="97" t="n">
        <v>5</v>
      </c>
      <c r="G51" s="97" t="n">
        <v>2220</v>
      </c>
      <c r="H51" s="97" t="n">
        <v>587</v>
      </c>
      <c r="I51" s="97" t="n">
        <v>1633</v>
      </c>
      <c r="J51" s="98" t="n">
        <v>1110.25</v>
      </c>
      <c r="K51" s="98" t="n">
        <v>1174.6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藥華藥(6446)</t>
        </is>
      </c>
      <c r="E52" s="97" t="n">
        <v>10</v>
      </c>
      <c r="F52" s="97" t="n">
        <v>0</v>
      </c>
      <c r="G52" s="97" t="n">
        <v>1555</v>
      </c>
      <c r="H52" s="97" t="n">
        <v>0</v>
      </c>
      <c r="I52" s="97" t="n">
        <v>1555</v>
      </c>
      <c r="J52" s="98" t="n">
        <v>1555</v>
      </c>
      <c r="K52" s="98" t="n">
        <v>0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83</v>
      </c>
      <c r="F53" s="97" t="n">
        <v>41</v>
      </c>
      <c r="G53" s="97" t="n">
        <v>1530</v>
      </c>
      <c r="H53" s="97" t="n">
        <v>767</v>
      </c>
      <c r="I53" s="97" t="n">
        <v>763</v>
      </c>
      <c r="J53" s="98" t="n">
        <v>184.35</v>
      </c>
      <c r="K53" s="98" t="n">
        <v>187.12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精材(3374)</t>
        </is>
      </c>
      <c r="E54" s="97" t="n">
        <v>34</v>
      </c>
      <c r="F54" s="97" t="n">
        <v>27</v>
      </c>
      <c r="G54" s="97" t="n">
        <v>1325</v>
      </c>
      <c r="H54" s="97" t="n">
        <v>1034</v>
      </c>
      <c r="I54" s="97" t="n">
        <v>291</v>
      </c>
      <c r="J54" s="98" t="n">
        <v>389.65</v>
      </c>
      <c r="K54" s="98" t="n">
        <v>382.78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欣興(3037)</t>
        </is>
      </c>
      <c r="E55" s="97" t="n">
        <v>11</v>
      </c>
      <c r="F55" s="97" t="n">
        <v>7</v>
      </c>
      <c r="G55" s="97" t="n">
        <v>1235</v>
      </c>
      <c r="H55" s="97" t="n">
        <v>765</v>
      </c>
      <c r="I55" s="97" t="n">
        <v>470</v>
      </c>
      <c r="J55" s="98" t="n">
        <v>1122.64</v>
      </c>
      <c r="K55" s="98" t="n">
        <v>1092.86</v>
      </c>
      <c r="L55" s="192">
        <f>F55*(K55-J55)</f>
        <v/>
      </c>
    </row>
    <row r="56" ht="16.5" customHeight="1">
      <c r="A56" s="100" t="n"/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A57" s="99" t="n"/>
      <c r="B57" s="95" t="inlineStr">
        <is>
          <t>宏遠證券</t>
        </is>
      </c>
      <c r="C57" s="95" t="inlineStr">
        <is>
          <t>1260</t>
        </is>
      </c>
      <c r="D57" s="96" t="inlineStr">
        <is>
          <t>台達電(2308)</t>
        </is>
      </c>
      <c r="E57" s="97" t="n">
        <v>129</v>
      </c>
      <c r="F57" s="97" t="n">
        <v>19</v>
      </c>
      <c r="G57" s="97" t="n">
        <v>23662</v>
      </c>
      <c r="H57" s="97" t="n">
        <v>3522</v>
      </c>
      <c r="I57" s="97" t="n">
        <v>20140</v>
      </c>
      <c r="J57" s="98" t="n">
        <v>1834.22</v>
      </c>
      <c r="K57" s="98" t="n">
        <v>1853.63</v>
      </c>
      <c r="L57" s="191">
        <f>F57*(K57-J57)</f>
        <v/>
      </c>
    </row>
    <row r="58" ht="16.5" customHeight="1">
      <c r="A58" s="99" t="n"/>
      <c r="B58" s="99" t="n"/>
      <c r="C58" s="99" t="n"/>
      <c r="D58" s="96" t="inlineStr">
        <is>
          <t>聯發科(2454)</t>
        </is>
      </c>
      <c r="E58" s="97" t="n">
        <v>50</v>
      </c>
      <c r="F58" s="97" t="n">
        <v>4</v>
      </c>
      <c r="G58" s="97" t="n">
        <v>19846</v>
      </c>
      <c r="H58" s="97" t="n">
        <v>1616</v>
      </c>
      <c r="I58" s="97" t="n">
        <v>18230</v>
      </c>
      <c r="J58" s="98" t="n">
        <v>3969.12</v>
      </c>
      <c r="K58" s="98" t="n">
        <v>4038.75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貿聯-KY(3665)</t>
        </is>
      </c>
      <c r="E59" s="97" t="n">
        <v>42</v>
      </c>
      <c r="F59" s="97" t="n">
        <v>2</v>
      </c>
      <c r="G59" s="97" t="n">
        <v>9276</v>
      </c>
      <c r="H59" s="97" t="n">
        <v>420</v>
      </c>
      <c r="I59" s="97" t="n">
        <v>8856</v>
      </c>
      <c r="J59" s="98" t="n">
        <v>2208.57</v>
      </c>
      <c r="K59" s="98" t="n">
        <v>2097.5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順達(3211)</t>
        </is>
      </c>
      <c r="E60" s="97" t="n">
        <v>140</v>
      </c>
      <c r="F60" s="97" t="n">
        <v>2</v>
      </c>
      <c r="G60" s="97" t="n">
        <v>5687</v>
      </c>
      <c r="H60" s="97" t="n">
        <v>81</v>
      </c>
      <c r="I60" s="97" t="n">
        <v>5606</v>
      </c>
      <c r="J60" s="98" t="n">
        <v>406.24</v>
      </c>
      <c r="K60" s="98" t="n">
        <v>405.5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439</v>
      </c>
      <c r="F61" s="97" t="n">
        <v>205</v>
      </c>
      <c r="G61" s="97" t="n">
        <v>5627</v>
      </c>
      <c r="H61" s="97" t="n">
        <v>2635</v>
      </c>
      <c r="I61" s="97" t="n">
        <v>2992</v>
      </c>
      <c r="J61" s="98" t="n">
        <v>128.18</v>
      </c>
      <c r="K61" s="98" t="n">
        <v>128.52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嘉澤(3533)</t>
        </is>
      </c>
      <c r="E62" s="97" t="n">
        <v>28</v>
      </c>
      <c r="F62" s="97" t="n">
        <v>3</v>
      </c>
      <c r="G62" s="97" t="n">
        <v>4753</v>
      </c>
      <c r="H62" s="97" t="n">
        <v>520</v>
      </c>
      <c r="I62" s="97" t="n">
        <v>4233</v>
      </c>
      <c r="J62" s="98" t="n">
        <v>1697.43</v>
      </c>
      <c r="K62" s="98" t="n">
        <v>1735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華新科(2492)</t>
        </is>
      </c>
      <c r="E63" s="97" t="n">
        <v>144</v>
      </c>
      <c r="F63" s="97" t="n">
        <v>27</v>
      </c>
      <c r="G63" s="97" t="n">
        <v>4409</v>
      </c>
      <c r="H63" s="97" t="n">
        <v>826</v>
      </c>
      <c r="I63" s="97" t="n">
        <v>3583</v>
      </c>
      <c r="J63" s="98" t="n">
        <v>306.16</v>
      </c>
      <c r="K63" s="98" t="n">
        <v>306.07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長榮航(2618)</t>
        </is>
      </c>
      <c r="E64" s="97" t="n">
        <v>1000</v>
      </c>
      <c r="F64" s="97" t="n">
        <v>0</v>
      </c>
      <c r="G64" s="97" t="n">
        <v>4191</v>
      </c>
      <c r="H64" s="97" t="n">
        <v>0</v>
      </c>
      <c r="I64" s="97" t="n">
        <v>4191</v>
      </c>
      <c r="J64" s="98" t="n">
        <v>41.91</v>
      </c>
      <c r="K64" s="98" t="n">
        <v>0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頎邦(6147)</t>
        </is>
      </c>
      <c r="E65" s="97" t="n">
        <v>222</v>
      </c>
      <c r="F65" s="97" t="n">
        <v>76</v>
      </c>
      <c r="G65" s="97" t="n">
        <v>4091</v>
      </c>
      <c r="H65" s="97" t="n">
        <v>1418</v>
      </c>
      <c r="I65" s="97" t="n">
        <v>2673</v>
      </c>
      <c r="J65" s="98" t="n">
        <v>184.29</v>
      </c>
      <c r="K65" s="98" t="n">
        <v>186.63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緯創(3231)</t>
        </is>
      </c>
      <c r="E66" s="97" t="n">
        <v>227</v>
      </c>
      <c r="F66" s="97" t="n">
        <v>22</v>
      </c>
      <c r="G66" s="97" t="n">
        <v>4066</v>
      </c>
      <c r="H66" s="97" t="n">
        <v>404</v>
      </c>
      <c r="I66" s="97" t="n">
        <v>3662</v>
      </c>
      <c r="J66" s="98" t="n">
        <v>179.14</v>
      </c>
      <c r="K66" s="98" t="n">
        <v>183.41</v>
      </c>
      <c r="L66" s="191">
        <f>F66*(K66-J66)</f>
        <v/>
      </c>
    </row>
    <row r="67" ht="16.5" customHeight="1">
      <c r="A67" s="100" t="n"/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A68" s="99" t="n"/>
      <c r="B68" s="95" t="inlineStr">
        <is>
          <t>凱基-信義</t>
        </is>
      </c>
      <c r="C68" s="95" t="inlineStr">
        <is>
          <t>9216</t>
        </is>
      </c>
      <c r="D68" s="96" t="inlineStr">
        <is>
          <t>金居(8358)</t>
        </is>
      </c>
      <c r="E68" s="97" t="n">
        <v>4979</v>
      </c>
      <c r="F68" s="97" t="n">
        <v>1021</v>
      </c>
      <c r="G68" s="97" t="n">
        <v>270186</v>
      </c>
      <c r="H68" s="97" t="n">
        <v>53136</v>
      </c>
      <c r="I68" s="97" t="n">
        <v>217050</v>
      </c>
      <c r="J68" s="98" t="n">
        <v>542.65</v>
      </c>
      <c r="K68" s="98" t="n">
        <v>520.4299999999999</v>
      </c>
      <c r="L68" s="192">
        <f>F68*(K68-J68)</f>
        <v/>
      </c>
    </row>
    <row r="69" ht="16.5" customHeight="1">
      <c r="A69" s="99" t="n"/>
      <c r="B69" s="99" t="n"/>
      <c r="C69" s="99" t="n"/>
      <c r="D69" s="96" t="inlineStr">
        <is>
          <t>聯電(2303)</t>
        </is>
      </c>
      <c r="E69" s="97" t="n">
        <v>6031</v>
      </c>
      <c r="F69" s="97" t="n">
        <v>207</v>
      </c>
      <c r="G69" s="97" t="n">
        <v>78401</v>
      </c>
      <c r="H69" s="97" t="n">
        <v>2632</v>
      </c>
      <c r="I69" s="97" t="n">
        <v>75769</v>
      </c>
      <c r="J69" s="98" t="n">
        <v>130</v>
      </c>
      <c r="K69" s="98" t="n">
        <v>127.14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萬潤(6187)</t>
        </is>
      </c>
      <c r="E70" s="97" t="n">
        <v>130</v>
      </c>
      <c r="F70" s="97" t="n">
        <v>39</v>
      </c>
      <c r="G70" s="97" t="n">
        <v>17507</v>
      </c>
      <c r="H70" s="97" t="n">
        <v>5439</v>
      </c>
      <c r="I70" s="97" t="n">
        <v>12068</v>
      </c>
      <c r="J70" s="98" t="n">
        <v>1346.66</v>
      </c>
      <c r="K70" s="98" t="n">
        <v>1394.62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嘉澤(3533)</t>
        </is>
      </c>
      <c r="E71" s="97" t="n">
        <v>72</v>
      </c>
      <c r="F71" s="97" t="n">
        <v>11</v>
      </c>
      <c r="G71" s="97" t="n">
        <v>12480</v>
      </c>
      <c r="H71" s="97" t="n">
        <v>1927</v>
      </c>
      <c r="I71" s="97" t="n">
        <v>10553</v>
      </c>
      <c r="J71" s="98" t="n">
        <v>1733.26</v>
      </c>
      <c r="K71" s="98" t="n">
        <v>1751.82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力旺(3529)</t>
        </is>
      </c>
      <c r="E72" s="97" t="n">
        <v>40</v>
      </c>
      <c r="F72" s="97" t="n">
        <v>1</v>
      </c>
      <c r="G72" s="97" t="n">
        <v>10400</v>
      </c>
      <c r="H72" s="97" t="n">
        <v>3</v>
      </c>
      <c r="I72" s="97" t="n">
        <v>10397</v>
      </c>
      <c r="J72" s="98" t="n">
        <v>2600</v>
      </c>
      <c r="K72" s="98" t="n">
        <v>26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川湖(2059)</t>
        </is>
      </c>
      <c r="E73" s="97" t="n">
        <v>7</v>
      </c>
      <c r="F73" s="97" t="n">
        <v>5</v>
      </c>
      <c r="G73" s="97" t="n">
        <v>9956</v>
      </c>
      <c r="H73" s="97" t="n">
        <v>7125</v>
      </c>
      <c r="I73" s="97" t="n">
        <v>2831</v>
      </c>
      <c r="J73" s="98" t="n">
        <v>14223.57</v>
      </c>
      <c r="K73" s="98" t="n">
        <v>14249.4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玉晶光(3406)</t>
        </is>
      </c>
      <c r="E74" s="97" t="n">
        <v>94</v>
      </c>
      <c r="F74" s="97" t="n">
        <v>10</v>
      </c>
      <c r="G74" s="97" t="n">
        <v>8541</v>
      </c>
      <c r="H74" s="97" t="n">
        <v>890</v>
      </c>
      <c r="I74" s="97" t="n">
        <v>7651</v>
      </c>
      <c r="J74" s="98" t="n">
        <v>908.59</v>
      </c>
      <c r="K74" s="98" t="n">
        <v>890.1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台光電(2383)</t>
        </is>
      </c>
      <c r="E75" s="97" t="n">
        <v>15</v>
      </c>
      <c r="F75" s="97" t="n">
        <v>2</v>
      </c>
      <c r="G75" s="97" t="n">
        <v>8294</v>
      </c>
      <c r="H75" s="97" t="n">
        <v>1124</v>
      </c>
      <c r="I75" s="97" t="n">
        <v>7170</v>
      </c>
      <c r="J75" s="98" t="n">
        <v>5529.13</v>
      </c>
      <c r="K75" s="98" t="n">
        <v>5619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信昌電(6173)</t>
        </is>
      </c>
      <c r="E76" s="97" t="n">
        <v>258</v>
      </c>
      <c r="F76" s="97" t="n">
        <v>183</v>
      </c>
      <c r="G76" s="97" t="n">
        <v>6166</v>
      </c>
      <c r="H76" s="97" t="n">
        <v>4342</v>
      </c>
      <c r="I76" s="97" t="n">
        <v>1824</v>
      </c>
      <c r="J76" s="98" t="n">
        <v>238.98</v>
      </c>
      <c r="K76" s="98" t="n">
        <v>237.3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國巨*(2327)</t>
        </is>
      </c>
      <c r="E77" s="97" t="n">
        <v>98</v>
      </c>
      <c r="F77" s="97" t="n">
        <v>48</v>
      </c>
      <c r="G77" s="97" t="n">
        <v>5853</v>
      </c>
      <c r="H77" s="97" t="n">
        <v>2911</v>
      </c>
      <c r="I77" s="97" t="n">
        <v>2942</v>
      </c>
      <c r="J77" s="98" t="n">
        <v>597.21</v>
      </c>
      <c r="K77" s="98" t="n">
        <v>606.52</v>
      </c>
      <c r="L77" s="191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聯電(2303)</t>
        </is>
      </c>
      <c r="E79" s="104" t="n">
        <v>6031</v>
      </c>
      <c r="F79" s="104" t="n">
        <v>2678</v>
      </c>
      <c r="G79" s="104" t="n">
        <v>78370</v>
      </c>
      <c r="H79" s="104" t="n">
        <v>34709</v>
      </c>
      <c r="I79" s="104" t="n">
        <v>43661</v>
      </c>
      <c r="J79" s="105" t="n">
        <v>129.95</v>
      </c>
      <c r="K79" s="105" t="n">
        <v>129.61</v>
      </c>
      <c r="L79" s="192">
        <f>F79*(K79-J79)</f>
        <v/>
      </c>
    </row>
    <row r="80" ht="16.5" customHeight="1">
      <c r="A80" s="106" t="n"/>
      <c r="B80" s="106" t="n"/>
      <c r="C80" s="106" t="n"/>
      <c r="D80" s="103" t="inlineStr">
        <is>
          <t>國巨*(2327)</t>
        </is>
      </c>
      <c r="E80" s="104" t="n">
        <v>866</v>
      </c>
      <c r="F80" s="104" t="n">
        <v>150</v>
      </c>
      <c r="G80" s="104" t="n">
        <v>52608</v>
      </c>
      <c r="H80" s="104" t="n">
        <v>8978</v>
      </c>
      <c r="I80" s="104" t="n">
        <v>43630</v>
      </c>
      <c r="J80" s="105" t="n">
        <v>607.48</v>
      </c>
      <c r="K80" s="105" t="n">
        <v>598.5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華新科(2492)</t>
        </is>
      </c>
      <c r="E81" s="104" t="n">
        <v>1515</v>
      </c>
      <c r="F81" s="104" t="n">
        <v>100</v>
      </c>
      <c r="G81" s="104" t="n">
        <v>47283</v>
      </c>
      <c r="H81" s="104" t="n">
        <v>3080</v>
      </c>
      <c r="I81" s="104" t="n">
        <v>44203</v>
      </c>
      <c r="J81" s="105" t="n">
        <v>312.1</v>
      </c>
      <c r="K81" s="105" t="n">
        <v>308.01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穩懋(3105)</t>
        </is>
      </c>
      <c r="E82" s="104" t="n">
        <v>844</v>
      </c>
      <c r="F82" s="104" t="n">
        <v>46</v>
      </c>
      <c r="G82" s="104" t="n">
        <v>37934</v>
      </c>
      <c r="H82" s="104" t="n">
        <v>2071</v>
      </c>
      <c r="I82" s="104" t="n">
        <v>35863</v>
      </c>
      <c r="J82" s="105" t="n">
        <v>449.45</v>
      </c>
      <c r="K82" s="105" t="n">
        <v>450.26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聯鈞(3450)</t>
        </is>
      </c>
      <c r="E83" s="104" t="n">
        <v>579</v>
      </c>
      <c r="F83" s="104" t="n">
        <v>65</v>
      </c>
      <c r="G83" s="104" t="n">
        <v>36578</v>
      </c>
      <c r="H83" s="104" t="n">
        <v>3986</v>
      </c>
      <c r="I83" s="104" t="n">
        <v>32592</v>
      </c>
      <c r="J83" s="105" t="n">
        <v>631.74</v>
      </c>
      <c r="K83" s="105" t="n">
        <v>613.17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萬潤(6187)</t>
        </is>
      </c>
      <c r="E84" s="104" t="n">
        <v>126</v>
      </c>
      <c r="F84" s="104" t="n">
        <v>11</v>
      </c>
      <c r="G84" s="104" t="n">
        <v>17256</v>
      </c>
      <c r="H84" s="104" t="n">
        <v>1556</v>
      </c>
      <c r="I84" s="104" t="n">
        <v>15700</v>
      </c>
      <c r="J84" s="105" t="n">
        <v>1369.48</v>
      </c>
      <c r="K84" s="105" t="n">
        <v>1414.18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金居(8358)</t>
        </is>
      </c>
      <c r="E85" s="104" t="n">
        <v>313</v>
      </c>
      <c r="F85" s="104" t="n">
        <v>26</v>
      </c>
      <c r="G85" s="104" t="n">
        <v>16267</v>
      </c>
      <c r="H85" s="104" t="n">
        <v>1391</v>
      </c>
      <c r="I85" s="104" t="n">
        <v>14876</v>
      </c>
      <c r="J85" s="105" t="n">
        <v>519.72</v>
      </c>
      <c r="K85" s="105" t="n">
        <v>534.85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健策(3653)</t>
        </is>
      </c>
      <c r="E86" s="104" t="n">
        <v>27</v>
      </c>
      <c r="F86" s="104" t="n">
        <v>3</v>
      </c>
      <c r="G86" s="104" t="n">
        <v>15837</v>
      </c>
      <c r="H86" s="104" t="n">
        <v>1734</v>
      </c>
      <c r="I86" s="104" t="n">
        <v>14103</v>
      </c>
      <c r="J86" s="105" t="n">
        <v>5865.56</v>
      </c>
      <c r="K86" s="105" t="n">
        <v>5781.67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聯茂(6213)</t>
        </is>
      </c>
      <c r="E87" s="104" t="n">
        <v>262</v>
      </c>
      <c r="F87" s="104" t="n">
        <v>39</v>
      </c>
      <c r="G87" s="104" t="n">
        <v>15167</v>
      </c>
      <c r="H87" s="104" t="n">
        <v>2230</v>
      </c>
      <c r="I87" s="104" t="n">
        <v>12937</v>
      </c>
      <c r="J87" s="105" t="n">
        <v>578.9</v>
      </c>
      <c r="K87" s="105" t="n">
        <v>571.9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欣興(3037)</t>
        </is>
      </c>
      <c r="E88" s="104" t="n">
        <v>89</v>
      </c>
      <c r="F88" s="104" t="n">
        <v>21</v>
      </c>
      <c r="G88" s="104" t="n">
        <v>10007</v>
      </c>
      <c r="H88" s="104" t="n">
        <v>2435</v>
      </c>
      <c r="I88" s="104" t="n">
        <v>7572</v>
      </c>
      <c r="J88" s="105" t="n">
        <v>1124.38</v>
      </c>
      <c r="K88" s="105" t="n">
        <v>1159.48</v>
      </c>
      <c r="L88" s="191">
        <f>F88*(K88-J88)</f>
        <v/>
      </c>
    </row>
    <row r="89" ht="16.5" customHeight="1">
      <c r="A89" s="107" t="n"/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A90" s="106" t="n"/>
      <c r="B90" s="102" t="inlineStr">
        <is>
          <t>台新-城中</t>
        </is>
      </c>
      <c r="C90" s="102" t="inlineStr">
        <is>
          <t>9B2E</t>
        </is>
      </c>
      <c r="D90" s="103" t="inlineStr">
        <is>
          <t>大立光(3008)</t>
        </is>
      </c>
      <c r="E90" s="104" t="n">
        <v>18</v>
      </c>
      <c r="F90" s="104" t="n">
        <v>3</v>
      </c>
      <c r="G90" s="104" t="n">
        <v>12774</v>
      </c>
      <c r="H90" s="104" t="n">
        <v>1792</v>
      </c>
      <c r="I90" s="104" t="n">
        <v>10982</v>
      </c>
      <c r="J90" s="105" t="n">
        <v>7096.5</v>
      </c>
      <c r="K90" s="105" t="n">
        <v>5973</v>
      </c>
      <c r="L90" s="192">
        <f>F90*(K90-J90)</f>
        <v/>
      </c>
    </row>
    <row r="91" ht="16.5" customHeight="1">
      <c r="A91" s="106" t="n"/>
      <c r="B91" s="106" t="n"/>
      <c r="C91" s="106" t="n"/>
      <c r="D91" s="103" t="inlineStr">
        <is>
          <t>富喬(1815)</t>
        </is>
      </c>
      <c r="E91" s="104" t="n">
        <v>597</v>
      </c>
      <c r="F91" s="104" t="n">
        <v>546</v>
      </c>
      <c r="G91" s="104" t="n">
        <v>7442</v>
      </c>
      <c r="H91" s="104" t="n">
        <v>6299</v>
      </c>
      <c r="I91" s="104" t="n">
        <v>1143</v>
      </c>
      <c r="J91" s="105" t="n">
        <v>124.66</v>
      </c>
      <c r="K91" s="105" t="n">
        <v>115.37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南亞科(2408)</t>
        </is>
      </c>
      <c r="E92" s="104" t="n">
        <v>125</v>
      </c>
      <c r="F92" s="104" t="n">
        <v>69</v>
      </c>
      <c r="G92" s="104" t="n">
        <v>6801</v>
      </c>
      <c r="H92" s="104" t="n">
        <v>3805</v>
      </c>
      <c r="I92" s="104" t="n">
        <v>2996</v>
      </c>
      <c r="J92" s="105" t="n">
        <v>544.05</v>
      </c>
      <c r="K92" s="105" t="n">
        <v>551.46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亞電(4939)</t>
        </is>
      </c>
      <c r="E93" s="104" t="n">
        <v>651</v>
      </c>
      <c r="F93" s="104" t="n">
        <v>595</v>
      </c>
      <c r="G93" s="104" t="n">
        <v>6038</v>
      </c>
      <c r="H93" s="104" t="n">
        <v>5524</v>
      </c>
      <c r="I93" s="104" t="n">
        <v>514</v>
      </c>
      <c r="J93" s="105" t="n">
        <v>92.75</v>
      </c>
      <c r="K93" s="105" t="n">
        <v>92.84999999999999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群創(3481)</t>
        </is>
      </c>
      <c r="E94" s="104" t="n">
        <v>1068</v>
      </c>
      <c r="F94" s="104" t="n">
        <v>1010</v>
      </c>
      <c r="G94" s="104" t="n">
        <v>5220</v>
      </c>
      <c r="H94" s="104" t="n">
        <v>4757</v>
      </c>
      <c r="I94" s="104" t="n">
        <v>463</v>
      </c>
      <c r="J94" s="105" t="n">
        <v>48.88</v>
      </c>
      <c r="K94" s="105" t="n">
        <v>47.1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緯穎(6669)</t>
        </is>
      </c>
      <c r="E95" s="104" t="n">
        <v>4</v>
      </c>
      <c r="F95" s="104" t="n">
        <v>2</v>
      </c>
      <c r="G95" s="104" t="n">
        <v>2783</v>
      </c>
      <c r="H95" s="104" t="n">
        <v>1574</v>
      </c>
      <c r="I95" s="104" t="n">
        <v>1209</v>
      </c>
      <c r="J95" s="105" t="n">
        <v>6956.5</v>
      </c>
      <c r="K95" s="105" t="n">
        <v>7867.5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台達電(2308)</t>
        </is>
      </c>
      <c r="E96" s="104" t="n">
        <v>15</v>
      </c>
      <c r="F96" s="104" t="n">
        <v>6</v>
      </c>
      <c r="G96" s="104" t="n">
        <v>2719</v>
      </c>
      <c r="H96" s="104" t="n">
        <v>1121</v>
      </c>
      <c r="I96" s="104" t="n">
        <v>1598</v>
      </c>
      <c r="J96" s="105" t="n">
        <v>1812.67</v>
      </c>
      <c r="K96" s="105" t="n">
        <v>1868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華邦電(2344)</t>
        </is>
      </c>
      <c r="E97" s="104" t="n">
        <v>145</v>
      </c>
      <c r="F97" s="104" t="n">
        <v>53</v>
      </c>
      <c r="G97" s="104" t="n">
        <v>2669</v>
      </c>
      <c r="H97" s="104" t="n">
        <v>983</v>
      </c>
      <c r="I97" s="104" t="n">
        <v>1686</v>
      </c>
      <c r="J97" s="105" t="n">
        <v>184.09</v>
      </c>
      <c r="K97" s="105" t="n">
        <v>185.43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宏致(3605)</t>
        </is>
      </c>
      <c r="E98" s="104" t="n">
        <v>165</v>
      </c>
      <c r="F98" s="104" t="n">
        <v>123</v>
      </c>
      <c r="G98" s="104" t="n">
        <v>2133</v>
      </c>
      <c r="H98" s="104" t="n">
        <v>1497</v>
      </c>
      <c r="I98" s="104" t="n">
        <v>636</v>
      </c>
      <c r="J98" s="105" t="n">
        <v>129.28</v>
      </c>
      <c r="K98" s="105" t="n">
        <v>121.73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南電(8046)</t>
        </is>
      </c>
      <c r="E99" s="104" t="n">
        <v>14</v>
      </c>
      <c r="F99" s="104" t="n">
        <v>11</v>
      </c>
      <c r="G99" s="104" t="n">
        <v>1778</v>
      </c>
      <c r="H99" s="104" t="n">
        <v>1404</v>
      </c>
      <c r="I99" s="104" t="n">
        <v>374</v>
      </c>
      <c r="J99" s="105" t="n">
        <v>1269.64</v>
      </c>
      <c r="K99" s="105" t="n">
        <v>1276.18</v>
      </c>
      <c r="L99" s="191">
        <f>F99*(K99-J99)</f>
        <v/>
      </c>
    </row>
    <row r="100" ht="16.5" customHeight="1">
      <c r="A100" s="107" t="n"/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A101" s="106" t="n"/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禾伸堂(3026)</t>
        </is>
      </c>
      <c r="E101" s="104" t="n">
        <v>1983</v>
      </c>
      <c r="F101" s="104" t="n">
        <v>1450</v>
      </c>
      <c r="G101" s="104" t="n">
        <v>147106</v>
      </c>
      <c r="H101" s="104" t="n">
        <v>107516</v>
      </c>
      <c r="I101" s="104" t="n">
        <v>39590</v>
      </c>
      <c r="J101" s="105" t="n">
        <v>741.84</v>
      </c>
      <c r="K101" s="105" t="n">
        <v>741.49</v>
      </c>
      <c r="L101" s="192">
        <f>F101*(K101-J101)</f>
        <v/>
      </c>
    </row>
    <row r="102" ht="16.5" customHeight="1">
      <c r="A102" s="106" t="n"/>
      <c r="B102" s="106" t="n"/>
      <c r="C102" s="106" t="n"/>
      <c r="D102" s="103" t="inlineStr">
        <is>
          <t>精材(3374)</t>
        </is>
      </c>
      <c r="E102" s="104" t="n">
        <v>3477</v>
      </c>
      <c r="F102" s="104" t="n">
        <v>84</v>
      </c>
      <c r="G102" s="104" t="n">
        <v>132660</v>
      </c>
      <c r="H102" s="104" t="n">
        <v>3168</v>
      </c>
      <c r="I102" s="104" t="n">
        <v>129492</v>
      </c>
      <c r="J102" s="105" t="n">
        <v>381.54</v>
      </c>
      <c r="K102" s="105" t="n">
        <v>377.18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智邦(2345)</t>
        </is>
      </c>
      <c r="E103" s="104" t="n">
        <v>173</v>
      </c>
      <c r="F103" s="104" t="n">
        <v>5</v>
      </c>
      <c r="G103" s="104" t="n">
        <v>37011</v>
      </c>
      <c r="H103" s="104" t="n">
        <v>1074</v>
      </c>
      <c r="I103" s="104" t="n">
        <v>35937</v>
      </c>
      <c r="J103" s="105" t="n">
        <v>2139.36</v>
      </c>
      <c r="K103" s="105" t="n">
        <v>2147.2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強茂(2481)</t>
        </is>
      </c>
      <c r="E104" s="104" t="n">
        <v>1577</v>
      </c>
      <c r="F104" s="104" t="n">
        <v>1149</v>
      </c>
      <c r="G104" s="104" t="n">
        <v>25369</v>
      </c>
      <c r="H104" s="104" t="n">
        <v>18399</v>
      </c>
      <c r="I104" s="104" t="n">
        <v>6970</v>
      </c>
      <c r="J104" s="105" t="n">
        <v>160.87</v>
      </c>
      <c r="K104" s="105" t="n">
        <v>160.13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群聯(8299)</t>
        </is>
      </c>
      <c r="E105" s="104" t="n">
        <v>92</v>
      </c>
      <c r="F105" s="104" t="n">
        <v>11</v>
      </c>
      <c r="G105" s="104" t="n">
        <v>19778</v>
      </c>
      <c r="H105" s="104" t="n">
        <v>2458</v>
      </c>
      <c r="I105" s="104" t="n">
        <v>17320</v>
      </c>
      <c r="J105" s="105" t="n">
        <v>2149.84</v>
      </c>
      <c r="K105" s="105" t="n">
        <v>2234.82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南亞科(2408)</t>
        </is>
      </c>
      <c r="E106" s="104" t="n">
        <v>343</v>
      </c>
      <c r="F106" s="104" t="n">
        <v>182</v>
      </c>
      <c r="G106" s="104" t="n">
        <v>18812</v>
      </c>
      <c r="H106" s="104" t="n">
        <v>10028</v>
      </c>
      <c r="I106" s="104" t="n">
        <v>8784</v>
      </c>
      <c r="J106" s="105" t="n">
        <v>548.45</v>
      </c>
      <c r="K106" s="105" t="n">
        <v>550.99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南亞(1303)</t>
        </is>
      </c>
      <c r="E107" s="104" t="n">
        <v>754</v>
      </c>
      <c r="F107" s="104" t="n">
        <v>469</v>
      </c>
      <c r="G107" s="104" t="n">
        <v>17188</v>
      </c>
      <c r="H107" s="104" t="n">
        <v>10480</v>
      </c>
      <c r="I107" s="104" t="n">
        <v>6708</v>
      </c>
      <c r="J107" s="105" t="n">
        <v>227.96</v>
      </c>
      <c r="K107" s="105" t="n">
        <v>223.46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環球晶(6488)</t>
        </is>
      </c>
      <c r="E108" s="104" t="n">
        <v>93</v>
      </c>
      <c r="F108" s="104" t="n">
        <v>38</v>
      </c>
      <c r="G108" s="104" t="n">
        <v>9075</v>
      </c>
      <c r="H108" s="104" t="n">
        <v>3694</v>
      </c>
      <c r="I108" s="104" t="n">
        <v>5381</v>
      </c>
      <c r="J108" s="105" t="n">
        <v>975.8</v>
      </c>
      <c r="K108" s="105" t="n">
        <v>972.13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金像電(2368)</t>
        </is>
      </c>
      <c r="E109" s="104" t="n">
        <v>75</v>
      </c>
      <c r="F109" s="104" t="n">
        <v>12</v>
      </c>
      <c r="G109" s="104" t="n">
        <v>8482</v>
      </c>
      <c r="H109" s="104" t="n">
        <v>1335</v>
      </c>
      <c r="I109" s="104" t="n">
        <v>7147</v>
      </c>
      <c r="J109" s="105" t="n">
        <v>1130.92</v>
      </c>
      <c r="K109" s="105" t="n">
        <v>1112.83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台玻(1802)</t>
        </is>
      </c>
      <c r="E110" s="104" t="n">
        <v>1183</v>
      </c>
      <c r="F110" s="104" t="n">
        <v>327</v>
      </c>
      <c r="G110" s="104" t="n">
        <v>7329</v>
      </c>
      <c r="H110" s="104" t="n">
        <v>1993</v>
      </c>
      <c r="I110" s="104" t="n">
        <v>5336</v>
      </c>
      <c r="J110" s="105" t="n">
        <v>61.96</v>
      </c>
      <c r="K110" s="105" t="n">
        <v>60.95</v>
      </c>
      <c r="L110" s="192">
        <f>F110*(K110-J110)</f>
        <v/>
      </c>
    </row>
    <row r="111" ht="16.5" customHeight="1">
      <c r="A111" s="107" t="n"/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A112" s="106" t="n"/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台虹(8039)</t>
        </is>
      </c>
      <c r="E112" s="104" t="n">
        <v>98</v>
      </c>
      <c r="F112" s="104" t="n">
        <v>52</v>
      </c>
      <c r="G112" s="104" t="n">
        <v>3429</v>
      </c>
      <c r="H112" s="104" t="n">
        <v>1832</v>
      </c>
      <c r="I112" s="104" t="n">
        <v>1597</v>
      </c>
      <c r="J112" s="105" t="n">
        <v>349.87</v>
      </c>
      <c r="K112" s="105" t="n">
        <v>352.37</v>
      </c>
      <c r="L112" s="191">
        <f>F112*(K112-J112)</f>
        <v/>
      </c>
    </row>
    <row r="113" ht="16.5" customHeight="1">
      <c r="A113" s="106" t="n"/>
      <c r="B113" s="106" t="n"/>
      <c r="C113" s="106" t="n"/>
      <c r="D113" s="103" t="inlineStr">
        <is>
          <t>華邦電(2344)</t>
        </is>
      </c>
      <c r="E113" s="104" t="n">
        <v>99</v>
      </c>
      <c r="F113" s="104" t="n">
        <v>61</v>
      </c>
      <c r="G113" s="104" t="n">
        <v>1842</v>
      </c>
      <c r="H113" s="104" t="n">
        <v>1160</v>
      </c>
      <c r="I113" s="104" t="n">
        <v>682</v>
      </c>
      <c r="J113" s="105" t="n">
        <v>186.07</v>
      </c>
      <c r="K113" s="105" t="n">
        <v>190.25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聯亞(3081)</t>
        </is>
      </c>
      <c r="E114" s="104" t="n">
        <v>5</v>
      </c>
      <c r="F114" s="104" t="n">
        <v>4</v>
      </c>
      <c r="G114" s="104" t="n">
        <v>1710</v>
      </c>
      <c r="H114" s="104" t="n">
        <v>1431</v>
      </c>
      <c r="I114" s="104" t="n">
        <v>279</v>
      </c>
      <c r="J114" s="105" t="n">
        <v>3419.4</v>
      </c>
      <c r="K114" s="105" t="n">
        <v>3577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金居(8358)</t>
        </is>
      </c>
      <c r="E115" s="104" t="n">
        <v>28</v>
      </c>
      <c r="F115" s="104" t="n">
        <v>22</v>
      </c>
      <c r="G115" s="104" t="n">
        <v>1513</v>
      </c>
      <c r="H115" s="104" t="n">
        <v>1180</v>
      </c>
      <c r="I115" s="104" t="n">
        <v>333</v>
      </c>
      <c r="J115" s="105" t="n">
        <v>540.21</v>
      </c>
      <c r="K115" s="105" t="n">
        <v>536.27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南亞科(2408)</t>
        </is>
      </c>
      <c r="E116" s="104" t="n">
        <v>27</v>
      </c>
      <c r="F116" s="104" t="n">
        <v>22</v>
      </c>
      <c r="G116" s="104" t="n">
        <v>1466</v>
      </c>
      <c r="H116" s="104" t="n">
        <v>1184</v>
      </c>
      <c r="I116" s="104" t="n">
        <v>282</v>
      </c>
      <c r="J116" s="105" t="n">
        <v>543.04</v>
      </c>
      <c r="K116" s="105" t="n">
        <v>538.3200000000001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穩懋(3105)</t>
        </is>
      </c>
      <c r="E117" s="104" t="n">
        <v>30</v>
      </c>
      <c r="F117" s="104" t="n">
        <v>26</v>
      </c>
      <c r="G117" s="104" t="n">
        <v>1316</v>
      </c>
      <c r="H117" s="104" t="n">
        <v>1132</v>
      </c>
      <c r="I117" s="104" t="n">
        <v>184</v>
      </c>
      <c r="J117" s="105" t="n">
        <v>438.63</v>
      </c>
      <c r="K117" s="105" t="n">
        <v>435.35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3</v>
      </c>
      <c r="F118" s="104" t="n">
        <v>2</v>
      </c>
      <c r="G118" s="104" t="n">
        <v>1072</v>
      </c>
      <c r="H118" s="104" t="n">
        <v>902</v>
      </c>
      <c r="I118" s="104" t="n">
        <v>170</v>
      </c>
      <c r="J118" s="105" t="n">
        <v>3572.67</v>
      </c>
      <c r="K118" s="105" t="n">
        <v>4510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景碩(3189)</t>
        </is>
      </c>
      <c r="E119" s="104" t="n">
        <v>11</v>
      </c>
      <c r="F119" s="104" t="n">
        <v>5</v>
      </c>
      <c r="G119" s="104" t="n">
        <v>951</v>
      </c>
      <c r="H119" s="104" t="n">
        <v>426</v>
      </c>
      <c r="I119" s="104" t="n">
        <v>525</v>
      </c>
      <c r="J119" s="105" t="n">
        <v>864.45</v>
      </c>
      <c r="K119" s="105" t="n">
        <v>851.2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辛耘(3583)</t>
        </is>
      </c>
      <c r="E120" s="104" t="n">
        <v>12</v>
      </c>
      <c r="F120" s="104" t="n">
        <v>6</v>
      </c>
      <c r="G120" s="104" t="n">
        <v>936</v>
      </c>
      <c r="H120" s="104" t="n">
        <v>463</v>
      </c>
      <c r="I120" s="104" t="n">
        <v>473</v>
      </c>
      <c r="J120" s="105" t="n">
        <v>779.92</v>
      </c>
      <c r="K120" s="105" t="n">
        <v>772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頎邦(6147)</t>
        </is>
      </c>
      <c r="E121" s="104" t="n">
        <v>45</v>
      </c>
      <c r="F121" s="104" t="n">
        <v>36</v>
      </c>
      <c r="G121" s="104" t="n">
        <v>830</v>
      </c>
      <c r="H121" s="104" t="n">
        <v>660</v>
      </c>
      <c r="I121" s="104" t="n">
        <v>170</v>
      </c>
      <c r="J121" s="105" t="n">
        <v>184.42</v>
      </c>
      <c r="K121" s="105" t="n">
        <v>183.19</v>
      </c>
      <c r="L121" s="192">
        <f>F121*(K121-J121)</f>
        <v/>
      </c>
    </row>
    <row r="122" ht="16.5" customHeight="1">
      <c r="A122" s="107" t="n"/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A123" s="106" t="n"/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南亞科(2408)</t>
        </is>
      </c>
      <c r="E123" s="104" t="n">
        <v>78</v>
      </c>
      <c r="F123" s="104" t="n">
        <v>64</v>
      </c>
      <c r="G123" s="104" t="n">
        <v>4201</v>
      </c>
      <c r="H123" s="104" t="n">
        <v>3474</v>
      </c>
      <c r="I123" s="104" t="n">
        <v>727</v>
      </c>
      <c r="J123" s="105" t="n">
        <v>538.64</v>
      </c>
      <c r="K123" s="105" t="n">
        <v>542.86</v>
      </c>
      <c r="L123" s="191">
        <f>F123*(K123-J123)</f>
        <v/>
      </c>
    </row>
    <row r="124" ht="16.5" customHeight="1">
      <c r="A124" s="106" t="n"/>
      <c r="B124" s="106" t="n"/>
      <c r="C124" s="106" t="n"/>
      <c r="D124" s="103" t="inlineStr">
        <is>
          <t>南電(8046)</t>
        </is>
      </c>
      <c r="E124" s="104" t="n">
        <v>33</v>
      </c>
      <c r="F124" s="104" t="n">
        <v>3</v>
      </c>
      <c r="G124" s="104" t="n">
        <v>4042</v>
      </c>
      <c r="H124" s="104" t="n">
        <v>374</v>
      </c>
      <c r="I124" s="104" t="n">
        <v>3668</v>
      </c>
      <c r="J124" s="105" t="n">
        <v>1224.88</v>
      </c>
      <c r="K124" s="105" t="n">
        <v>1246.33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高力(8996)</t>
        </is>
      </c>
      <c r="E125" s="104" t="n">
        <v>28</v>
      </c>
      <c r="F125" s="104" t="n">
        <v>2</v>
      </c>
      <c r="G125" s="104" t="n">
        <v>3582</v>
      </c>
      <c r="H125" s="104" t="n">
        <v>256</v>
      </c>
      <c r="I125" s="104" t="n">
        <v>3326</v>
      </c>
      <c r="J125" s="105" t="n">
        <v>1279.25</v>
      </c>
      <c r="K125" s="105" t="n">
        <v>1280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信驊(5274)</t>
        </is>
      </c>
      <c r="E126" s="104" t="n">
        <v>2</v>
      </c>
      <c r="F126" s="104" t="n">
        <v>1</v>
      </c>
      <c r="G126" s="104" t="n">
        <v>3108</v>
      </c>
      <c r="H126" s="104" t="n">
        <v>1550</v>
      </c>
      <c r="I126" s="104" t="n">
        <v>1558</v>
      </c>
      <c r="J126" s="105" t="n">
        <v>15540</v>
      </c>
      <c r="K126" s="105" t="n">
        <v>15501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華邦電(2344)</t>
        </is>
      </c>
      <c r="E127" s="104" t="n">
        <v>169</v>
      </c>
      <c r="F127" s="104" t="n">
        <v>122</v>
      </c>
      <c r="G127" s="104" t="n">
        <v>3101</v>
      </c>
      <c r="H127" s="104" t="n">
        <v>2255</v>
      </c>
      <c r="I127" s="104" t="n">
        <v>846</v>
      </c>
      <c r="J127" s="105" t="n">
        <v>183.47</v>
      </c>
      <c r="K127" s="105" t="n">
        <v>184.81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精材(3374)</t>
        </is>
      </c>
      <c r="E128" s="104" t="n">
        <v>78</v>
      </c>
      <c r="F128" s="104" t="n">
        <v>49</v>
      </c>
      <c r="G128" s="104" t="n">
        <v>2980</v>
      </c>
      <c r="H128" s="104" t="n">
        <v>1822</v>
      </c>
      <c r="I128" s="104" t="n">
        <v>1158</v>
      </c>
      <c r="J128" s="105" t="n">
        <v>382</v>
      </c>
      <c r="K128" s="105" t="n">
        <v>371.88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穩懋(3105)</t>
        </is>
      </c>
      <c r="E129" s="104" t="n">
        <v>45</v>
      </c>
      <c r="F129" s="104" t="n">
        <v>27</v>
      </c>
      <c r="G129" s="104" t="n">
        <v>1963</v>
      </c>
      <c r="H129" s="104" t="n">
        <v>1178</v>
      </c>
      <c r="I129" s="104" t="n">
        <v>785</v>
      </c>
      <c r="J129" s="105" t="n">
        <v>436.2</v>
      </c>
      <c r="K129" s="105" t="n">
        <v>436.19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南亞(1303)</t>
        </is>
      </c>
      <c r="E130" s="104" t="n">
        <v>87</v>
      </c>
      <c r="F130" s="104" t="n">
        <v>67</v>
      </c>
      <c r="G130" s="104" t="n">
        <v>1922</v>
      </c>
      <c r="H130" s="104" t="n">
        <v>1474</v>
      </c>
      <c r="I130" s="104" t="n">
        <v>448</v>
      </c>
      <c r="J130" s="105" t="n">
        <v>220.94</v>
      </c>
      <c r="K130" s="105" t="n">
        <v>219.99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景碩(3189)</t>
        </is>
      </c>
      <c r="E131" s="104" t="n">
        <v>19</v>
      </c>
      <c r="F131" s="104" t="n">
        <v>14</v>
      </c>
      <c r="G131" s="104" t="n">
        <v>1686</v>
      </c>
      <c r="H131" s="104" t="n">
        <v>1292</v>
      </c>
      <c r="I131" s="104" t="n">
        <v>394</v>
      </c>
      <c r="J131" s="105" t="n">
        <v>887.47</v>
      </c>
      <c r="K131" s="105" t="n">
        <v>922.79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聯亞(3081)</t>
        </is>
      </c>
      <c r="E132" s="104" t="n">
        <v>5</v>
      </c>
      <c r="F132" s="104" t="n">
        <v>3</v>
      </c>
      <c r="G132" s="104" t="n">
        <v>1674</v>
      </c>
      <c r="H132" s="104" t="n">
        <v>1070</v>
      </c>
      <c r="I132" s="104" t="n">
        <v>604</v>
      </c>
      <c r="J132" s="105" t="n">
        <v>3347.2</v>
      </c>
      <c r="K132" s="105" t="n">
        <v>3567.67</v>
      </c>
      <c r="L132" s="191">
        <f>F132*(K132-J132)</f>
        <v/>
      </c>
    </row>
    <row r="133" ht="16.5" customHeight="1">
      <c r="A133" s="107" t="n"/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A134" s="106" t="n"/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國巨*(2327)</t>
        </is>
      </c>
      <c r="E134" s="104" t="n">
        <v>963</v>
      </c>
      <c r="F134" s="104" t="n">
        <v>628</v>
      </c>
      <c r="G134" s="104" t="n">
        <v>57465</v>
      </c>
      <c r="H134" s="104" t="n">
        <v>37497</v>
      </c>
      <c r="I134" s="104" t="n">
        <v>19968</v>
      </c>
      <c r="J134" s="105" t="n">
        <v>596.73</v>
      </c>
      <c r="K134" s="105" t="n">
        <v>597.09</v>
      </c>
      <c r="L134" s="191">
        <f>F134*(K134-J134)</f>
        <v/>
      </c>
    </row>
    <row r="135" ht="16.5" customHeight="1">
      <c r="A135" s="106" t="n"/>
      <c r="B135" s="106" t="n"/>
      <c r="C135" s="106" t="n"/>
      <c r="D135" s="103" t="inlineStr">
        <is>
          <t>穩懋(3105)</t>
        </is>
      </c>
      <c r="E135" s="104" t="n">
        <v>1292</v>
      </c>
      <c r="F135" s="104" t="n">
        <v>772</v>
      </c>
      <c r="G135" s="104" t="n">
        <v>56737</v>
      </c>
      <c r="H135" s="104" t="n">
        <v>33906</v>
      </c>
      <c r="I135" s="104" t="n">
        <v>22831</v>
      </c>
      <c r="J135" s="105" t="n">
        <v>439.14</v>
      </c>
      <c r="K135" s="105" t="n">
        <v>439.2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聯電(2303)</t>
        </is>
      </c>
      <c r="E136" s="104" t="n">
        <v>3722</v>
      </c>
      <c r="F136" s="104" t="n">
        <v>3134</v>
      </c>
      <c r="G136" s="104" t="n">
        <v>48391</v>
      </c>
      <c r="H136" s="104" t="n">
        <v>40743</v>
      </c>
      <c r="I136" s="104" t="n">
        <v>7648</v>
      </c>
      <c r="J136" s="105" t="n">
        <v>130.01</v>
      </c>
      <c r="K136" s="105" t="n">
        <v>130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貿聯-KY(3665)</t>
        </is>
      </c>
      <c r="E137" s="104" t="n">
        <v>213</v>
      </c>
      <c r="F137" s="104" t="n">
        <v>32</v>
      </c>
      <c r="G137" s="104" t="n">
        <v>48216</v>
      </c>
      <c r="H137" s="104" t="n">
        <v>7321</v>
      </c>
      <c r="I137" s="104" t="n">
        <v>40895</v>
      </c>
      <c r="J137" s="105" t="n">
        <v>2263.67</v>
      </c>
      <c r="K137" s="105" t="n">
        <v>2287.75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日月光投控(3711)</t>
        </is>
      </c>
      <c r="E138" s="104" t="n">
        <v>743</v>
      </c>
      <c r="F138" s="104" t="n">
        <v>143</v>
      </c>
      <c r="G138" s="104" t="n">
        <v>46141</v>
      </c>
      <c r="H138" s="104" t="n">
        <v>8860</v>
      </c>
      <c r="I138" s="104" t="n">
        <v>37281</v>
      </c>
      <c r="J138" s="105" t="n">
        <v>621.01</v>
      </c>
      <c r="K138" s="105" t="n">
        <v>619.55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緯穎(6669)</t>
        </is>
      </c>
      <c r="E139" s="104" t="n">
        <v>54</v>
      </c>
      <c r="F139" s="104" t="n">
        <v>8</v>
      </c>
      <c r="G139" s="104" t="n">
        <v>38785</v>
      </c>
      <c r="H139" s="104" t="n">
        <v>5699</v>
      </c>
      <c r="I139" s="104" t="n">
        <v>33086</v>
      </c>
      <c r="J139" s="105" t="n">
        <v>7182.39</v>
      </c>
      <c r="K139" s="105" t="n">
        <v>7123.88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大立光(3008)</t>
        </is>
      </c>
      <c r="E140" s="104" t="n">
        <v>49</v>
      </c>
      <c r="F140" s="104" t="n">
        <v>35</v>
      </c>
      <c r="G140" s="104" t="n">
        <v>34712</v>
      </c>
      <c r="H140" s="104" t="n">
        <v>24790</v>
      </c>
      <c r="I140" s="104" t="n">
        <v>9922</v>
      </c>
      <c r="J140" s="105" t="n">
        <v>7084.12</v>
      </c>
      <c r="K140" s="105" t="n">
        <v>7082.77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聯鈞(3450)</t>
        </is>
      </c>
      <c r="E141" s="104" t="n">
        <v>516</v>
      </c>
      <c r="F141" s="104" t="n">
        <v>196</v>
      </c>
      <c r="G141" s="104" t="n">
        <v>32735</v>
      </c>
      <c r="H141" s="104" t="n">
        <v>12474</v>
      </c>
      <c r="I141" s="104" t="n">
        <v>20261</v>
      </c>
      <c r="J141" s="105" t="n">
        <v>634.4</v>
      </c>
      <c r="K141" s="105" t="n">
        <v>636.4299999999999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臻鼎-KY(4958)</t>
        </is>
      </c>
      <c r="E142" s="104" t="n">
        <v>660</v>
      </c>
      <c r="F142" s="104" t="n">
        <v>488</v>
      </c>
      <c r="G142" s="104" t="n">
        <v>31737</v>
      </c>
      <c r="H142" s="104" t="n">
        <v>23432</v>
      </c>
      <c r="I142" s="104" t="n">
        <v>8305</v>
      </c>
      <c r="J142" s="105" t="n">
        <v>480.86</v>
      </c>
      <c r="K142" s="105" t="n">
        <v>480.17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金像電(2368)</t>
        </is>
      </c>
      <c r="E143" s="104" t="n">
        <v>274</v>
      </c>
      <c r="F143" s="104" t="n">
        <v>65</v>
      </c>
      <c r="G143" s="104" t="n">
        <v>30920</v>
      </c>
      <c r="H143" s="104" t="n">
        <v>7373</v>
      </c>
      <c r="I143" s="104" t="n">
        <v>23547</v>
      </c>
      <c r="J143" s="105" t="n">
        <v>1128.48</v>
      </c>
      <c r="K143" s="105" t="n">
        <v>1134.32</v>
      </c>
      <c r="L143" s="191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南電(8046)</t>
        </is>
      </c>
      <c r="E145" s="111" t="n">
        <v>437</v>
      </c>
      <c r="F145" s="111" t="n">
        <v>158</v>
      </c>
      <c r="G145" s="111" t="n">
        <v>54835</v>
      </c>
      <c r="H145" s="111" t="n">
        <v>19792</v>
      </c>
      <c r="I145" s="111" t="n">
        <v>35043</v>
      </c>
      <c r="J145" s="112" t="n">
        <v>1254.8</v>
      </c>
      <c r="K145" s="112" t="n">
        <v>1252.65</v>
      </c>
      <c r="L145" s="192">
        <f>F145*(K145-J145)</f>
        <v/>
      </c>
    </row>
    <row r="146" ht="16.5" customHeight="1">
      <c r="A146" s="113" t="n"/>
      <c r="B146" s="113" t="n"/>
      <c r="C146" s="113" t="n"/>
      <c r="D146" s="110" t="inlineStr">
        <is>
          <t>富邦金(2881)</t>
        </is>
      </c>
      <c r="E146" s="111" t="n">
        <v>3624</v>
      </c>
      <c r="F146" s="111" t="n">
        <v>1</v>
      </c>
      <c r="G146" s="111" t="n">
        <v>52020</v>
      </c>
      <c r="H146" s="111" t="n">
        <v>7</v>
      </c>
      <c r="I146" s="111" t="n">
        <v>52013</v>
      </c>
      <c r="J146" s="112" t="n">
        <v>143.54</v>
      </c>
      <c r="K146" s="112" t="n">
        <v>71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聯發科(2454)</t>
        </is>
      </c>
      <c r="E147" s="111" t="n">
        <v>111</v>
      </c>
      <c r="F147" s="111" t="n">
        <v>6</v>
      </c>
      <c r="G147" s="111" t="n">
        <v>44425</v>
      </c>
      <c r="H147" s="111" t="n">
        <v>2566</v>
      </c>
      <c r="I147" s="111" t="n">
        <v>41859</v>
      </c>
      <c r="J147" s="112" t="n">
        <v>4002.22</v>
      </c>
      <c r="K147" s="112" t="n">
        <v>4276.33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240</v>
      </c>
      <c r="F148" s="111" t="n">
        <v>40</v>
      </c>
      <c r="G148" s="111" t="n">
        <v>44007</v>
      </c>
      <c r="H148" s="111" t="n">
        <v>7356</v>
      </c>
      <c r="I148" s="111" t="n">
        <v>36651</v>
      </c>
      <c r="J148" s="112" t="n">
        <v>1833.64</v>
      </c>
      <c r="K148" s="112" t="n">
        <v>1838.95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聯電(2303)</t>
        </is>
      </c>
      <c r="E149" s="111" t="n">
        <v>3153</v>
      </c>
      <c r="F149" s="111" t="n">
        <v>1249</v>
      </c>
      <c r="G149" s="111" t="n">
        <v>40258</v>
      </c>
      <c r="H149" s="111" t="n">
        <v>16020</v>
      </c>
      <c r="I149" s="111" t="n">
        <v>24238</v>
      </c>
      <c r="J149" s="112" t="n">
        <v>127.68</v>
      </c>
      <c r="K149" s="112" t="n">
        <v>128.26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旺矽(6223)</t>
        </is>
      </c>
      <c r="E150" s="111" t="n">
        <v>76</v>
      </c>
      <c r="F150" s="111" t="n">
        <v>36</v>
      </c>
      <c r="G150" s="111" t="n">
        <v>38175</v>
      </c>
      <c r="H150" s="111" t="n">
        <v>17968</v>
      </c>
      <c r="I150" s="111" t="n">
        <v>20207</v>
      </c>
      <c r="J150" s="112" t="n">
        <v>5022.97</v>
      </c>
      <c r="K150" s="112" t="n">
        <v>4990.97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玉晶光(3406)</t>
        </is>
      </c>
      <c r="E151" s="111" t="n">
        <v>392</v>
      </c>
      <c r="F151" s="111" t="n">
        <v>77</v>
      </c>
      <c r="G151" s="111" t="n">
        <v>34332</v>
      </c>
      <c r="H151" s="111" t="n">
        <v>6639</v>
      </c>
      <c r="I151" s="111" t="n">
        <v>27693</v>
      </c>
      <c r="J151" s="112" t="n">
        <v>875.83</v>
      </c>
      <c r="K151" s="112" t="n">
        <v>862.16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日月光投控(3711)</t>
        </is>
      </c>
      <c r="E152" s="111" t="n">
        <v>546</v>
      </c>
      <c r="F152" s="111" t="n">
        <v>111</v>
      </c>
      <c r="G152" s="111" t="n">
        <v>33612</v>
      </c>
      <c r="H152" s="111" t="n">
        <v>6872</v>
      </c>
      <c r="I152" s="111" t="n">
        <v>26740</v>
      </c>
      <c r="J152" s="112" t="n">
        <v>615.6</v>
      </c>
      <c r="K152" s="112" t="n">
        <v>619.11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雙鴻(3324)</t>
        </is>
      </c>
      <c r="E153" s="111" t="n">
        <v>267</v>
      </c>
      <c r="F153" s="111" t="n">
        <v>6</v>
      </c>
      <c r="G153" s="111" t="n">
        <v>30572</v>
      </c>
      <c r="H153" s="111" t="n">
        <v>674</v>
      </c>
      <c r="I153" s="111" t="n">
        <v>29898</v>
      </c>
      <c r="J153" s="112" t="n">
        <v>1145</v>
      </c>
      <c r="K153" s="112" t="n">
        <v>1123.5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中信金(2891)</t>
        </is>
      </c>
      <c r="E154" s="111" t="n">
        <v>4581</v>
      </c>
      <c r="F154" s="111" t="n">
        <v>3</v>
      </c>
      <c r="G154" s="111" t="n">
        <v>29474</v>
      </c>
      <c r="H154" s="111" t="n">
        <v>19</v>
      </c>
      <c r="I154" s="111" t="n">
        <v>29455</v>
      </c>
      <c r="J154" s="112" t="n">
        <v>64.34</v>
      </c>
      <c r="K154" s="112" t="n">
        <v>64.67</v>
      </c>
      <c r="L154" s="191">
        <f>F154*(K154-J154)</f>
        <v/>
      </c>
    </row>
    <row r="155" ht="16.5" customHeight="1">
      <c r="A155" s="114" t="n"/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A156" s="113" t="n"/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38</v>
      </c>
      <c r="F156" s="111" t="n">
        <v>24</v>
      </c>
      <c r="G156" s="111" t="n">
        <v>27099</v>
      </c>
      <c r="H156" s="111" t="n">
        <v>16887</v>
      </c>
      <c r="I156" s="111" t="n">
        <v>10212</v>
      </c>
      <c r="J156" s="112" t="n">
        <v>7131.34</v>
      </c>
      <c r="K156" s="112" t="n">
        <v>7036.12</v>
      </c>
      <c r="L156" s="192">
        <f>F156*(K156-J156)</f>
        <v/>
      </c>
    </row>
    <row r="157" ht="16.5" customHeight="1">
      <c r="A157" s="113" t="n"/>
      <c r="B157" s="113" t="n"/>
      <c r="C157" s="113" t="n"/>
      <c r="D157" s="110" t="inlineStr">
        <is>
          <t>緯穎(6669)</t>
        </is>
      </c>
      <c r="E157" s="111" t="n">
        <v>32</v>
      </c>
      <c r="F157" s="111" t="n">
        <v>4</v>
      </c>
      <c r="G157" s="111" t="n">
        <v>23011</v>
      </c>
      <c r="H157" s="111" t="n">
        <v>3168</v>
      </c>
      <c r="I157" s="111" t="n">
        <v>19843</v>
      </c>
      <c r="J157" s="112" t="n">
        <v>7190.91</v>
      </c>
      <c r="K157" s="112" t="n">
        <v>7919.75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欣興(3037)</t>
        </is>
      </c>
      <c r="E158" s="111" t="n">
        <v>192</v>
      </c>
      <c r="F158" s="111" t="n">
        <v>121</v>
      </c>
      <c r="G158" s="111" t="n">
        <v>21340</v>
      </c>
      <c r="H158" s="111" t="n">
        <v>13417</v>
      </c>
      <c r="I158" s="111" t="n">
        <v>7923</v>
      </c>
      <c r="J158" s="112" t="n">
        <v>1111.46</v>
      </c>
      <c r="K158" s="112" t="n">
        <v>1108.81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尖點(8021)</t>
        </is>
      </c>
      <c r="E159" s="111" t="n">
        <v>439</v>
      </c>
      <c r="F159" s="111" t="n">
        <v>117</v>
      </c>
      <c r="G159" s="111" t="n">
        <v>19713</v>
      </c>
      <c r="H159" s="111" t="n">
        <v>5138</v>
      </c>
      <c r="I159" s="111" t="n">
        <v>14575</v>
      </c>
      <c r="J159" s="112" t="n">
        <v>449.03</v>
      </c>
      <c r="K159" s="112" t="n">
        <v>439.12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光寶科(2301)</t>
        </is>
      </c>
      <c r="E160" s="111" t="n">
        <v>557</v>
      </c>
      <c r="F160" s="111" t="n">
        <v>82</v>
      </c>
      <c r="G160" s="111" t="n">
        <v>17322</v>
      </c>
      <c r="H160" s="111" t="n">
        <v>2539</v>
      </c>
      <c r="I160" s="111" t="n">
        <v>14783</v>
      </c>
      <c r="J160" s="112" t="n">
        <v>310.99</v>
      </c>
      <c r="K160" s="112" t="n">
        <v>309.59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富世達(6805)</t>
        </is>
      </c>
      <c r="E161" s="111" t="n">
        <v>74</v>
      </c>
      <c r="F161" s="111" t="n">
        <v>14</v>
      </c>
      <c r="G161" s="111" t="n">
        <v>17254</v>
      </c>
      <c r="H161" s="111" t="n">
        <v>3309</v>
      </c>
      <c r="I161" s="111" t="n">
        <v>13945</v>
      </c>
      <c r="J161" s="112" t="n">
        <v>2331.62</v>
      </c>
      <c r="K161" s="112" t="n">
        <v>2363.64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華通(2313)</t>
        </is>
      </c>
      <c r="E162" s="111" t="n">
        <v>655</v>
      </c>
      <c r="F162" s="111" t="n">
        <v>406</v>
      </c>
      <c r="G162" s="111" t="n">
        <v>16640</v>
      </c>
      <c r="H162" s="111" t="n">
        <v>9959</v>
      </c>
      <c r="I162" s="111" t="n">
        <v>6681</v>
      </c>
      <c r="J162" s="112" t="n">
        <v>254.05</v>
      </c>
      <c r="K162" s="112" t="n">
        <v>245.29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國巨*(2327)</t>
        </is>
      </c>
      <c r="E163" s="111" t="n">
        <v>263</v>
      </c>
      <c r="F163" s="111" t="n">
        <v>143</v>
      </c>
      <c r="G163" s="111" t="n">
        <v>15649</v>
      </c>
      <c r="H163" s="111" t="n">
        <v>8523</v>
      </c>
      <c r="I163" s="111" t="n">
        <v>7126</v>
      </c>
      <c r="J163" s="112" t="n">
        <v>595.02</v>
      </c>
      <c r="K163" s="112" t="n">
        <v>595.99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智邦(2345)</t>
        </is>
      </c>
      <c r="E164" s="111" t="n">
        <v>66</v>
      </c>
      <c r="F164" s="111" t="n">
        <v>31</v>
      </c>
      <c r="G164" s="111" t="n">
        <v>14020</v>
      </c>
      <c r="H164" s="111" t="n">
        <v>6564</v>
      </c>
      <c r="I164" s="111" t="n">
        <v>7456</v>
      </c>
      <c r="J164" s="112" t="n">
        <v>2124.3</v>
      </c>
      <c r="K164" s="112" t="n">
        <v>2117.26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台達電(2308)</t>
        </is>
      </c>
      <c r="E165" s="111" t="n">
        <v>59</v>
      </c>
      <c r="F165" s="111" t="n">
        <v>25</v>
      </c>
      <c r="G165" s="111" t="n">
        <v>10864</v>
      </c>
      <c r="H165" s="111" t="n">
        <v>4605</v>
      </c>
      <c r="I165" s="111" t="n">
        <v>6259</v>
      </c>
      <c r="J165" s="112" t="n">
        <v>1841.31</v>
      </c>
      <c r="K165" s="112" t="n">
        <v>1841.92</v>
      </c>
      <c r="L165" s="191">
        <f>F165*(K165-J165)</f>
        <v/>
      </c>
    </row>
    <row r="166" ht="16.5" customHeight="1">
      <c r="A166" s="114" t="n"/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A167" s="113" t="n"/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金居(8358)</t>
        </is>
      </c>
      <c r="E167" s="111" t="n">
        <v>4979</v>
      </c>
      <c r="F167" s="111" t="n">
        <v>1021</v>
      </c>
      <c r="G167" s="111" t="n">
        <v>270186</v>
      </c>
      <c r="H167" s="111" t="n">
        <v>53136</v>
      </c>
      <c r="I167" s="111" t="n">
        <v>217050</v>
      </c>
      <c r="J167" s="112" t="n">
        <v>542.65</v>
      </c>
      <c r="K167" s="112" t="n">
        <v>520.4299999999999</v>
      </c>
      <c r="L167" s="192">
        <f>F167*(K167-J167)</f>
        <v/>
      </c>
    </row>
    <row r="168" ht="16.5" customHeight="1">
      <c r="A168" s="113" t="n"/>
      <c r="B168" s="113" t="n"/>
      <c r="C168" s="113" t="n"/>
      <c r="D168" s="110" t="inlineStr">
        <is>
          <t>聯電(2303)</t>
        </is>
      </c>
      <c r="E168" s="111" t="n">
        <v>6031</v>
      </c>
      <c r="F168" s="111" t="n">
        <v>207</v>
      </c>
      <c r="G168" s="111" t="n">
        <v>78401</v>
      </c>
      <c r="H168" s="111" t="n">
        <v>2632</v>
      </c>
      <c r="I168" s="111" t="n">
        <v>75769</v>
      </c>
      <c r="J168" s="112" t="n">
        <v>130</v>
      </c>
      <c r="K168" s="112" t="n">
        <v>127.14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萬潤(6187)</t>
        </is>
      </c>
      <c r="E169" s="111" t="n">
        <v>130</v>
      </c>
      <c r="F169" s="111" t="n">
        <v>39</v>
      </c>
      <c r="G169" s="111" t="n">
        <v>17507</v>
      </c>
      <c r="H169" s="111" t="n">
        <v>5439</v>
      </c>
      <c r="I169" s="111" t="n">
        <v>12068</v>
      </c>
      <c r="J169" s="112" t="n">
        <v>1346.66</v>
      </c>
      <c r="K169" s="112" t="n">
        <v>1394.62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嘉澤(3533)</t>
        </is>
      </c>
      <c r="E170" s="111" t="n">
        <v>72</v>
      </c>
      <c r="F170" s="111" t="n">
        <v>11</v>
      </c>
      <c r="G170" s="111" t="n">
        <v>12480</v>
      </c>
      <c r="H170" s="111" t="n">
        <v>1927</v>
      </c>
      <c r="I170" s="111" t="n">
        <v>10553</v>
      </c>
      <c r="J170" s="112" t="n">
        <v>1733.26</v>
      </c>
      <c r="K170" s="112" t="n">
        <v>1751.82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力旺(3529)</t>
        </is>
      </c>
      <c r="E171" s="111" t="n">
        <v>40</v>
      </c>
      <c r="F171" s="111" t="n">
        <v>1</v>
      </c>
      <c r="G171" s="111" t="n">
        <v>10400</v>
      </c>
      <c r="H171" s="111" t="n">
        <v>3</v>
      </c>
      <c r="I171" s="111" t="n">
        <v>10397</v>
      </c>
      <c r="J171" s="112" t="n">
        <v>2600</v>
      </c>
      <c r="K171" s="112" t="n">
        <v>26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川湖(2059)</t>
        </is>
      </c>
      <c r="E172" s="111" t="n">
        <v>7</v>
      </c>
      <c r="F172" s="111" t="n">
        <v>5</v>
      </c>
      <c r="G172" s="111" t="n">
        <v>9956</v>
      </c>
      <c r="H172" s="111" t="n">
        <v>7125</v>
      </c>
      <c r="I172" s="111" t="n">
        <v>2831</v>
      </c>
      <c r="J172" s="112" t="n">
        <v>14223.57</v>
      </c>
      <c r="K172" s="112" t="n">
        <v>14249.4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玉晶光(3406)</t>
        </is>
      </c>
      <c r="E173" s="111" t="n">
        <v>94</v>
      </c>
      <c r="F173" s="111" t="n">
        <v>10</v>
      </c>
      <c r="G173" s="111" t="n">
        <v>8541</v>
      </c>
      <c r="H173" s="111" t="n">
        <v>890</v>
      </c>
      <c r="I173" s="111" t="n">
        <v>7651</v>
      </c>
      <c r="J173" s="112" t="n">
        <v>908.59</v>
      </c>
      <c r="K173" s="112" t="n">
        <v>890.1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台光電(2383)</t>
        </is>
      </c>
      <c r="E174" s="111" t="n">
        <v>15</v>
      </c>
      <c r="F174" s="111" t="n">
        <v>2</v>
      </c>
      <c r="G174" s="111" t="n">
        <v>8294</v>
      </c>
      <c r="H174" s="111" t="n">
        <v>1124</v>
      </c>
      <c r="I174" s="111" t="n">
        <v>7170</v>
      </c>
      <c r="J174" s="112" t="n">
        <v>5529.13</v>
      </c>
      <c r="K174" s="112" t="n">
        <v>5619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信昌電(6173)</t>
        </is>
      </c>
      <c r="E175" s="111" t="n">
        <v>258</v>
      </c>
      <c r="F175" s="111" t="n">
        <v>183</v>
      </c>
      <c r="G175" s="111" t="n">
        <v>6166</v>
      </c>
      <c r="H175" s="111" t="n">
        <v>4342</v>
      </c>
      <c r="I175" s="111" t="n">
        <v>1824</v>
      </c>
      <c r="J175" s="112" t="n">
        <v>238.98</v>
      </c>
      <c r="K175" s="112" t="n">
        <v>237.3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國巨*(2327)</t>
        </is>
      </c>
      <c r="E176" s="111" t="n">
        <v>98</v>
      </c>
      <c r="F176" s="111" t="n">
        <v>48</v>
      </c>
      <c r="G176" s="111" t="n">
        <v>5853</v>
      </c>
      <c r="H176" s="111" t="n">
        <v>2911</v>
      </c>
      <c r="I176" s="111" t="n">
        <v>2942</v>
      </c>
      <c r="J176" s="112" t="n">
        <v>597.21</v>
      </c>
      <c r="K176" s="112" t="n">
        <v>606.52</v>
      </c>
      <c r="L176" s="191">
        <f>F176*(K176-J176)</f>
        <v/>
      </c>
    </row>
    <row r="177" ht="16.5" customHeight="1">
      <c r="A177" s="114" t="n"/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A178" s="113" t="n"/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聯電(2303)</t>
        </is>
      </c>
      <c r="E178" s="111" t="n">
        <v>25646</v>
      </c>
      <c r="F178" s="111" t="n">
        <v>7255</v>
      </c>
      <c r="G178" s="111" t="n">
        <v>333205</v>
      </c>
      <c r="H178" s="111" t="n">
        <v>94234</v>
      </c>
      <c r="I178" s="111" t="n">
        <v>238971</v>
      </c>
      <c r="J178" s="112" t="n">
        <v>129.92</v>
      </c>
      <c r="K178" s="112" t="n">
        <v>129.89</v>
      </c>
      <c r="L178" s="192">
        <f>F178*(K178-J178)</f>
        <v/>
      </c>
    </row>
    <row r="179" ht="16.5" customHeight="1">
      <c r="A179" s="113" t="n"/>
      <c r="B179" s="113" t="n"/>
      <c r="C179" s="113" t="n"/>
      <c r="D179" s="110" t="inlineStr">
        <is>
          <t>禾伸堂(3026)</t>
        </is>
      </c>
      <c r="E179" s="111" t="n">
        <v>1102</v>
      </c>
      <c r="F179" s="111" t="n">
        <v>271</v>
      </c>
      <c r="G179" s="111" t="n">
        <v>81769</v>
      </c>
      <c r="H179" s="111" t="n">
        <v>20072</v>
      </c>
      <c r="I179" s="111" t="n">
        <v>61697</v>
      </c>
      <c r="J179" s="112" t="n">
        <v>742.01</v>
      </c>
      <c r="K179" s="112" t="n">
        <v>740.67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穩懋(3105)</t>
        </is>
      </c>
      <c r="E180" s="111" t="n">
        <v>487</v>
      </c>
      <c r="F180" s="111" t="n">
        <v>63</v>
      </c>
      <c r="G180" s="111" t="n">
        <v>22046</v>
      </c>
      <c r="H180" s="111" t="n">
        <v>2811</v>
      </c>
      <c r="I180" s="111" t="n">
        <v>19235</v>
      </c>
      <c r="J180" s="112" t="n">
        <v>452.69</v>
      </c>
      <c r="K180" s="112" t="n">
        <v>446.21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大立光(3008)</t>
        </is>
      </c>
      <c r="E181" s="111" t="n">
        <v>23</v>
      </c>
      <c r="F181" s="111" t="n">
        <v>3</v>
      </c>
      <c r="G181" s="111" t="n">
        <v>16008</v>
      </c>
      <c r="H181" s="111" t="n">
        <v>2205</v>
      </c>
      <c r="I181" s="111" t="n">
        <v>13803</v>
      </c>
      <c r="J181" s="112" t="n">
        <v>6960.17</v>
      </c>
      <c r="K181" s="112" t="n">
        <v>7351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南俊國際(6584)</t>
        </is>
      </c>
      <c r="E182" s="111" t="n">
        <v>153</v>
      </c>
      <c r="F182" s="111" t="n">
        <v>3</v>
      </c>
      <c r="G182" s="111" t="n">
        <v>10439</v>
      </c>
      <c r="H182" s="111" t="n">
        <v>194</v>
      </c>
      <c r="I182" s="111" t="n">
        <v>10245</v>
      </c>
      <c r="J182" s="112" t="n">
        <v>682.28</v>
      </c>
      <c r="K182" s="112" t="n">
        <v>647.33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奇鋐(3017)</t>
        </is>
      </c>
      <c r="E183" s="111" t="n">
        <v>25</v>
      </c>
      <c r="F183" s="111" t="n">
        <v>7</v>
      </c>
      <c r="G183" s="111" t="n">
        <v>8505</v>
      </c>
      <c r="H183" s="111" t="n">
        <v>2314</v>
      </c>
      <c r="I183" s="111" t="n">
        <v>6191</v>
      </c>
      <c r="J183" s="112" t="n">
        <v>3401.84</v>
      </c>
      <c r="K183" s="112" t="n">
        <v>3305.71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台達電(2308)</t>
        </is>
      </c>
      <c r="E184" s="111" t="n">
        <v>41</v>
      </c>
      <c r="F184" s="111" t="n">
        <v>35</v>
      </c>
      <c r="G184" s="111" t="n">
        <v>7531</v>
      </c>
      <c r="H184" s="111" t="n">
        <v>6490</v>
      </c>
      <c r="I184" s="111" t="n">
        <v>1041</v>
      </c>
      <c r="J184" s="112" t="n">
        <v>1836.93</v>
      </c>
      <c r="K184" s="112" t="n">
        <v>1854.4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欣興(3037)</t>
        </is>
      </c>
      <c r="E185" s="111" t="n">
        <v>59</v>
      </c>
      <c r="F185" s="111" t="n">
        <v>47</v>
      </c>
      <c r="G185" s="111" t="n">
        <v>6506</v>
      </c>
      <c r="H185" s="111" t="n">
        <v>5233</v>
      </c>
      <c r="I185" s="111" t="n">
        <v>1273</v>
      </c>
      <c r="J185" s="112" t="n">
        <v>1102.8</v>
      </c>
      <c r="K185" s="112" t="n">
        <v>1113.43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華邦電(2344)</t>
        </is>
      </c>
      <c r="E186" s="111" t="n">
        <v>271</v>
      </c>
      <c r="F186" s="111" t="n">
        <v>94</v>
      </c>
      <c r="G186" s="111" t="n">
        <v>4986</v>
      </c>
      <c r="H186" s="111" t="n">
        <v>1752</v>
      </c>
      <c r="I186" s="111" t="n">
        <v>3234</v>
      </c>
      <c r="J186" s="112" t="n">
        <v>183.97</v>
      </c>
      <c r="K186" s="112" t="n">
        <v>186.39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景碩(3189)</t>
        </is>
      </c>
      <c r="E187" s="111" t="n">
        <v>51</v>
      </c>
      <c r="F187" s="111" t="n">
        <v>30</v>
      </c>
      <c r="G187" s="111" t="n">
        <v>4612</v>
      </c>
      <c r="H187" s="111" t="n">
        <v>2663</v>
      </c>
      <c r="I187" s="111" t="n">
        <v>1949</v>
      </c>
      <c r="J187" s="112" t="n">
        <v>904.27</v>
      </c>
      <c r="K187" s="112" t="n">
        <v>887.5700000000001</v>
      </c>
      <c r="L187" s="192">
        <f>F187*(K187-J187)</f>
        <v/>
      </c>
    </row>
    <row r="188" ht="16.5" customHeight="1">
      <c r="A188" s="114" t="n"/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A189" s="113" t="n"/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台光電(2383)</t>
        </is>
      </c>
      <c r="E189" s="111" t="n">
        <v>9</v>
      </c>
      <c r="F189" s="111" t="n">
        <v>1</v>
      </c>
      <c r="G189" s="111" t="n">
        <v>5076</v>
      </c>
      <c r="H189" s="111" t="n">
        <v>4</v>
      </c>
      <c r="I189" s="111" t="n">
        <v>5072</v>
      </c>
      <c r="J189" s="112" t="n">
        <v>5639.89</v>
      </c>
      <c r="K189" s="112" t="n">
        <v>44</v>
      </c>
      <c r="L189" s="192">
        <f>F189*(K189-J189)</f>
        <v/>
      </c>
    </row>
    <row r="190" ht="16.5" customHeight="1">
      <c r="A190" s="113" t="n"/>
      <c r="B190" s="113" t="n"/>
      <c r="C190" s="113" t="n"/>
      <c r="D190" s="110" t="inlineStr">
        <is>
          <t>華通(2313)</t>
        </is>
      </c>
      <c r="E190" s="111" t="n">
        <v>182</v>
      </c>
      <c r="F190" s="111" t="n">
        <v>130</v>
      </c>
      <c r="G190" s="111" t="n">
        <v>4507</v>
      </c>
      <c r="H190" s="111" t="n">
        <v>3227</v>
      </c>
      <c r="I190" s="111" t="n">
        <v>1280</v>
      </c>
      <c r="J190" s="112" t="n">
        <v>247.66</v>
      </c>
      <c r="K190" s="112" t="n">
        <v>248.26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華邦電(2344)</t>
        </is>
      </c>
      <c r="E191" s="111" t="n">
        <v>212</v>
      </c>
      <c r="F191" s="111" t="n">
        <v>133</v>
      </c>
      <c r="G191" s="111" t="n">
        <v>3911</v>
      </c>
      <c r="H191" s="111" t="n">
        <v>2482</v>
      </c>
      <c r="I191" s="111" t="n">
        <v>1429</v>
      </c>
      <c r="J191" s="112" t="n">
        <v>184.5</v>
      </c>
      <c r="K191" s="112" t="n">
        <v>186.59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穩懋(3105)</t>
        </is>
      </c>
      <c r="E192" s="111" t="n">
        <v>78</v>
      </c>
      <c r="F192" s="111" t="n">
        <v>33</v>
      </c>
      <c r="G192" s="111" t="n">
        <v>3447</v>
      </c>
      <c r="H192" s="111" t="n">
        <v>1487</v>
      </c>
      <c r="I192" s="111" t="n">
        <v>1960</v>
      </c>
      <c r="J192" s="112" t="n">
        <v>441.96</v>
      </c>
      <c r="K192" s="112" t="n">
        <v>450.52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聯亞(3081)</t>
        </is>
      </c>
      <c r="E193" s="111" t="n">
        <v>10</v>
      </c>
      <c r="F193" s="111" t="n">
        <v>4</v>
      </c>
      <c r="G193" s="111" t="n">
        <v>3345</v>
      </c>
      <c r="H193" s="111" t="n">
        <v>1326</v>
      </c>
      <c r="I193" s="111" t="n">
        <v>2019</v>
      </c>
      <c r="J193" s="112" t="n">
        <v>3345</v>
      </c>
      <c r="K193" s="112" t="n">
        <v>3313.75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大量(3167)</t>
        </is>
      </c>
      <c r="E194" s="111" t="n">
        <v>41</v>
      </c>
      <c r="F194" s="111" t="n">
        <v>19</v>
      </c>
      <c r="G194" s="111" t="n">
        <v>3245</v>
      </c>
      <c r="H194" s="111" t="n">
        <v>1523</v>
      </c>
      <c r="I194" s="111" t="n">
        <v>1722</v>
      </c>
      <c r="J194" s="112" t="n">
        <v>791.51</v>
      </c>
      <c r="K194" s="112" t="n">
        <v>801.74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聯茂(6213)</t>
        </is>
      </c>
      <c r="E195" s="111" t="n">
        <v>53</v>
      </c>
      <c r="F195" s="111" t="n">
        <v>32</v>
      </c>
      <c r="G195" s="111" t="n">
        <v>3095</v>
      </c>
      <c r="H195" s="111" t="n">
        <v>1843</v>
      </c>
      <c r="I195" s="111" t="n">
        <v>1252</v>
      </c>
      <c r="J195" s="112" t="n">
        <v>583.91</v>
      </c>
      <c r="K195" s="112" t="n">
        <v>575.9400000000001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雙鴻(3324)</t>
        </is>
      </c>
      <c r="E196" s="111" t="n">
        <v>24</v>
      </c>
      <c r="F196" s="111" t="n">
        <v>3</v>
      </c>
      <c r="G196" s="111" t="n">
        <v>2746</v>
      </c>
      <c r="H196" s="111" t="n">
        <v>290</v>
      </c>
      <c r="I196" s="111" t="n">
        <v>2456</v>
      </c>
      <c r="J196" s="112" t="n">
        <v>1144.33</v>
      </c>
      <c r="K196" s="112" t="n">
        <v>967.33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精材(3374)</t>
        </is>
      </c>
      <c r="E197" s="111" t="n">
        <v>69</v>
      </c>
      <c r="F197" s="111" t="n">
        <v>48</v>
      </c>
      <c r="G197" s="111" t="n">
        <v>2663</v>
      </c>
      <c r="H197" s="111" t="n">
        <v>1852</v>
      </c>
      <c r="I197" s="111" t="n">
        <v>811</v>
      </c>
      <c r="J197" s="112" t="n">
        <v>385.88</v>
      </c>
      <c r="K197" s="112" t="n">
        <v>385.92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盟立(2464)</t>
        </is>
      </c>
      <c r="E198" s="111" t="n">
        <v>109</v>
      </c>
      <c r="F198" s="111" t="n">
        <v>6</v>
      </c>
      <c r="G198" s="111" t="n">
        <v>2226</v>
      </c>
      <c r="H198" s="111" t="n">
        <v>114</v>
      </c>
      <c r="I198" s="111" t="n">
        <v>2112</v>
      </c>
      <c r="J198" s="112" t="n">
        <v>204.21</v>
      </c>
      <c r="K198" s="112" t="n">
        <v>190.5</v>
      </c>
      <c r="L198" s="192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91</v>
      </c>
      <c r="F200" s="118" t="n">
        <v>11</v>
      </c>
      <c r="G200" s="118" t="n">
        <v>10370</v>
      </c>
      <c r="H200" s="118" t="n">
        <v>1274</v>
      </c>
      <c r="I200" s="118" t="n">
        <v>9096</v>
      </c>
      <c r="J200" s="119" t="n">
        <v>1139.6</v>
      </c>
      <c r="K200" s="119" t="n">
        <v>1158</v>
      </c>
      <c r="L200" s="191">
        <f>F200*(K200-J200)</f>
        <v/>
      </c>
    </row>
    <row r="201" ht="16.5" customHeight="1">
      <c r="A201" s="120" t="n"/>
      <c r="B201" s="120" t="n"/>
      <c r="C201" s="120" t="n"/>
      <c r="D201" s="117" t="inlineStr">
        <is>
          <t>聯茂(6213)</t>
        </is>
      </c>
      <c r="E201" s="118" t="n">
        <v>166</v>
      </c>
      <c r="F201" s="118" t="n">
        <v>10</v>
      </c>
      <c r="G201" s="118" t="n">
        <v>9664</v>
      </c>
      <c r="H201" s="118" t="n">
        <v>580</v>
      </c>
      <c r="I201" s="118" t="n">
        <v>9084</v>
      </c>
      <c r="J201" s="119" t="n">
        <v>582.16</v>
      </c>
      <c r="K201" s="119" t="n">
        <v>580.5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國巨*(2327)</t>
        </is>
      </c>
      <c r="E202" s="118" t="n">
        <v>162</v>
      </c>
      <c r="F202" s="118" t="n">
        <v>23</v>
      </c>
      <c r="G202" s="118" t="n">
        <v>9408</v>
      </c>
      <c r="H202" s="118" t="n">
        <v>1372</v>
      </c>
      <c r="I202" s="118" t="n">
        <v>8036</v>
      </c>
      <c r="J202" s="119" t="n">
        <v>580.72</v>
      </c>
      <c r="K202" s="119" t="n">
        <v>596.74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308</v>
      </c>
      <c r="F203" s="118" t="n">
        <v>13</v>
      </c>
      <c r="G203" s="118" t="n">
        <v>9226</v>
      </c>
      <c r="H203" s="118" t="n">
        <v>403</v>
      </c>
      <c r="I203" s="118" t="n">
        <v>8823</v>
      </c>
      <c r="J203" s="119" t="n">
        <v>299.54</v>
      </c>
      <c r="K203" s="119" t="n">
        <v>310.23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精材(3374)</t>
        </is>
      </c>
      <c r="E204" s="118" t="n">
        <v>206</v>
      </c>
      <c r="F204" s="118" t="n">
        <v>14</v>
      </c>
      <c r="G204" s="118" t="n">
        <v>7896</v>
      </c>
      <c r="H204" s="118" t="n">
        <v>539</v>
      </c>
      <c r="I204" s="118" t="n">
        <v>7357</v>
      </c>
      <c r="J204" s="119" t="n">
        <v>383.32</v>
      </c>
      <c r="K204" s="119" t="n">
        <v>385.21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宏致(3605)</t>
        </is>
      </c>
      <c r="E205" s="118" t="n">
        <v>464</v>
      </c>
      <c r="F205" s="118" t="n">
        <v>9</v>
      </c>
      <c r="G205" s="118" t="n">
        <v>5784</v>
      </c>
      <c r="H205" s="118" t="n">
        <v>114</v>
      </c>
      <c r="I205" s="118" t="n">
        <v>5670</v>
      </c>
      <c r="J205" s="119" t="n">
        <v>124.66</v>
      </c>
      <c r="K205" s="119" t="n">
        <v>126.56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台積電(2330)</t>
        </is>
      </c>
      <c r="E206" s="118" t="n">
        <v>23</v>
      </c>
      <c r="F206" s="118" t="n">
        <v>2</v>
      </c>
      <c r="G206" s="118" t="n">
        <v>5668</v>
      </c>
      <c r="H206" s="118" t="n">
        <v>406</v>
      </c>
      <c r="I206" s="118" t="n">
        <v>5262</v>
      </c>
      <c r="J206" s="119" t="n">
        <v>2464.13</v>
      </c>
      <c r="K206" s="119" t="n">
        <v>2030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景碩(3189)</t>
        </is>
      </c>
      <c r="E207" s="118" t="n">
        <v>29</v>
      </c>
      <c r="F207" s="118" t="n">
        <v>23</v>
      </c>
      <c r="G207" s="118" t="n">
        <v>2569</v>
      </c>
      <c r="H207" s="118" t="n">
        <v>2066</v>
      </c>
      <c r="I207" s="118" t="n">
        <v>503</v>
      </c>
      <c r="J207" s="119" t="n">
        <v>885.83</v>
      </c>
      <c r="K207" s="119" t="n">
        <v>898.09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旺宏(2337)</t>
        </is>
      </c>
      <c r="E208" s="118" t="n">
        <v>178</v>
      </c>
      <c r="F208" s="118" t="n">
        <v>5</v>
      </c>
      <c r="G208" s="118" t="n">
        <v>2287</v>
      </c>
      <c r="H208" s="118" t="n">
        <v>64</v>
      </c>
      <c r="I208" s="118" t="n">
        <v>2223</v>
      </c>
      <c r="J208" s="119" t="n">
        <v>128.49</v>
      </c>
      <c r="K208" s="119" t="n">
        <v>128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台虹(8039)</t>
        </is>
      </c>
      <c r="E209" s="118" t="n">
        <v>52</v>
      </c>
      <c r="F209" s="118" t="n">
        <v>41</v>
      </c>
      <c r="G209" s="118" t="n">
        <v>1786</v>
      </c>
      <c r="H209" s="118" t="n">
        <v>1422</v>
      </c>
      <c r="I209" s="118" t="n">
        <v>364</v>
      </c>
      <c r="J209" s="119" t="n">
        <v>343.38</v>
      </c>
      <c r="K209" s="119" t="n">
        <v>346.95</v>
      </c>
      <c r="L209" s="191">
        <f>F209*(K209-J209)</f>
        <v/>
      </c>
    </row>
    <row r="210" ht="16.5" customHeight="1">
      <c r="A210" s="121" t="n"/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A211" s="120" t="n"/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國巨*(2327)</t>
        </is>
      </c>
      <c r="E211" s="118" t="n">
        <v>535</v>
      </c>
      <c r="F211" s="118" t="n">
        <v>5</v>
      </c>
      <c r="G211" s="118" t="n">
        <v>31713</v>
      </c>
      <c r="H211" s="118" t="n">
        <v>314</v>
      </c>
      <c r="I211" s="118" t="n">
        <v>31399</v>
      </c>
      <c r="J211" s="119" t="n">
        <v>592.76</v>
      </c>
      <c r="K211" s="119" t="n">
        <v>628.2</v>
      </c>
      <c r="L211" s="191">
        <f>F211*(K211-J211)</f>
        <v/>
      </c>
    </row>
    <row r="212" ht="16.5" customHeight="1">
      <c r="A212" s="120" t="n"/>
      <c r="B212" s="120" t="n"/>
      <c r="C212" s="120" t="n"/>
      <c r="D212" s="117" t="inlineStr">
        <is>
          <t>景碩(3189)</t>
        </is>
      </c>
      <c r="E212" s="118" t="n">
        <v>336</v>
      </c>
      <c r="F212" s="118" t="n">
        <v>306</v>
      </c>
      <c r="G212" s="118" t="n">
        <v>30172</v>
      </c>
      <c r="H212" s="118" t="n">
        <v>27500</v>
      </c>
      <c r="I212" s="118" t="n">
        <v>2672</v>
      </c>
      <c r="J212" s="119" t="n">
        <v>897.97</v>
      </c>
      <c r="K212" s="119" t="n">
        <v>898.6799999999999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華新科(2492)</t>
        </is>
      </c>
      <c r="E213" s="118" t="n">
        <v>589</v>
      </c>
      <c r="F213" s="118" t="n">
        <v>10</v>
      </c>
      <c r="G213" s="118" t="n">
        <v>17901</v>
      </c>
      <c r="H213" s="118" t="n">
        <v>320</v>
      </c>
      <c r="I213" s="118" t="n">
        <v>17581</v>
      </c>
      <c r="J213" s="119" t="n">
        <v>303.93</v>
      </c>
      <c r="K213" s="119" t="n">
        <v>319.9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日月光投控(3711)</t>
        </is>
      </c>
      <c r="E214" s="118" t="n">
        <v>283</v>
      </c>
      <c r="F214" s="118" t="n">
        <v>33</v>
      </c>
      <c r="G214" s="118" t="n">
        <v>17663</v>
      </c>
      <c r="H214" s="118" t="n">
        <v>2048</v>
      </c>
      <c r="I214" s="118" t="n">
        <v>15615</v>
      </c>
      <c r="J214" s="119" t="n">
        <v>624.12</v>
      </c>
      <c r="K214" s="119" t="n">
        <v>620.45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大立光(3008)</t>
        </is>
      </c>
      <c r="E215" s="118" t="n">
        <v>25</v>
      </c>
      <c r="F215" s="118" t="n">
        <v>15</v>
      </c>
      <c r="G215" s="118" t="n">
        <v>17352</v>
      </c>
      <c r="H215" s="118" t="n">
        <v>10614</v>
      </c>
      <c r="I215" s="118" t="n">
        <v>6738</v>
      </c>
      <c r="J215" s="119" t="n">
        <v>6940.72</v>
      </c>
      <c r="K215" s="119" t="n">
        <v>7076.13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力成(6239)</t>
        </is>
      </c>
      <c r="E216" s="118" t="n">
        <v>505</v>
      </c>
      <c r="F216" s="118" t="n">
        <v>60</v>
      </c>
      <c r="G216" s="118" t="n">
        <v>14315</v>
      </c>
      <c r="H216" s="118" t="n">
        <v>1725</v>
      </c>
      <c r="I216" s="118" t="n">
        <v>12590</v>
      </c>
      <c r="J216" s="119" t="n">
        <v>283.47</v>
      </c>
      <c r="K216" s="119" t="n">
        <v>287.57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力旺(3529)</t>
        </is>
      </c>
      <c r="E217" s="118" t="n">
        <v>32</v>
      </c>
      <c r="F217" s="118" t="n">
        <v>4</v>
      </c>
      <c r="G217" s="118" t="n">
        <v>8196</v>
      </c>
      <c r="H217" s="118" t="n">
        <v>1014</v>
      </c>
      <c r="I217" s="118" t="n">
        <v>7182</v>
      </c>
      <c r="J217" s="119" t="n">
        <v>2561.22</v>
      </c>
      <c r="K217" s="119" t="n">
        <v>2535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環球晶(6488)</t>
        </is>
      </c>
      <c r="E218" s="118" t="n">
        <v>79</v>
      </c>
      <c r="F218" s="118" t="n">
        <v>35</v>
      </c>
      <c r="G218" s="118" t="n">
        <v>7723</v>
      </c>
      <c r="H218" s="118" t="n">
        <v>3364</v>
      </c>
      <c r="I218" s="118" t="n">
        <v>4359</v>
      </c>
      <c r="J218" s="119" t="n">
        <v>977.61</v>
      </c>
      <c r="K218" s="119" t="n">
        <v>961.14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台燿(6274)</t>
        </is>
      </c>
      <c r="E219" s="118" t="n">
        <v>41</v>
      </c>
      <c r="F219" s="118" t="n">
        <v>14</v>
      </c>
      <c r="G219" s="118" t="n">
        <v>6059</v>
      </c>
      <c r="H219" s="118" t="n">
        <v>2106</v>
      </c>
      <c r="I219" s="118" t="n">
        <v>3953</v>
      </c>
      <c r="J219" s="119" t="n">
        <v>1477.8</v>
      </c>
      <c r="K219" s="119" t="n">
        <v>1504.57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京元電子(2449)</t>
        </is>
      </c>
      <c r="E220" s="118" t="n">
        <v>207</v>
      </c>
      <c r="F220" s="118" t="n">
        <v>2</v>
      </c>
      <c r="G220" s="118" t="n">
        <v>5620</v>
      </c>
      <c r="H220" s="118" t="n">
        <v>54</v>
      </c>
      <c r="I220" s="118" t="n">
        <v>5566</v>
      </c>
      <c r="J220" s="119" t="n">
        <v>271.49</v>
      </c>
      <c r="K220" s="119" t="n">
        <v>272</v>
      </c>
      <c r="L220" s="191">
        <f>F220*(K220-J220)</f>
        <v/>
      </c>
    </row>
    <row r="221" ht="16.5" customHeight="1">
      <c r="A221" s="121" t="n"/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A222" s="120" t="n"/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日月光投控(3711)</t>
        </is>
      </c>
      <c r="E222" s="118" t="n">
        <v>487</v>
      </c>
      <c r="F222" s="118" t="n">
        <v>6</v>
      </c>
      <c r="G222" s="118" t="n">
        <v>30286</v>
      </c>
      <c r="H222" s="118" t="n">
        <v>368</v>
      </c>
      <c r="I222" s="118" t="n">
        <v>29918</v>
      </c>
      <c r="J222" s="119" t="n">
        <v>621.89</v>
      </c>
      <c r="K222" s="119" t="n">
        <v>613.67</v>
      </c>
      <c r="L222" s="192">
        <f>F222*(K222-J222)</f>
        <v/>
      </c>
    </row>
    <row r="223" ht="16.5" customHeight="1">
      <c r="A223" s="120" t="n"/>
      <c r="B223" s="120" t="n"/>
      <c r="C223" s="120" t="n"/>
      <c r="D223" s="117" t="inlineStr">
        <is>
          <t>京元電子(2449)</t>
        </is>
      </c>
      <c r="E223" s="118" t="n">
        <v>285</v>
      </c>
      <c r="F223" s="118" t="n">
        <v>22</v>
      </c>
      <c r="G223" s="118" t="n">
        <v>7715</v>
      </c>
      <c r="H223" s="118" t="n">
        <v>594</v>
      </c>
      <c r="I223" s="118" t="n">
        <v>7121</v>
      </c>
      <c r="J223" s="119" t="n">
        <v>270.69</v>
      </c>
      <c r="K223" s="119" t="n">
        <v>269.77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金居(8358)</t>
        </is>
      </c>
      <c r="E224" s="118" t="n">
        <v>147</v>
      </c>
      <c r="F224" s="118" t="n">
        <v>27</v>
      </c>
      <c r="G224" s="118" t="n">
        <v>7668</v>
      </c>
      <c r="H224" s="118" t="n">
        <v>1403</v>
      </c>
      <c r="I224" s="118" t="n">
        <v>6265</v>
      </c>
      <c r="J224" s="119" t="n">
        <v>521.6</v>
      </c>
      <c r="K224" s="119" t="n">
        <v>519.59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精材(3374)</t>
        </is>
      </c>
      <c r="E225" s="118" t="n">
        <v>167</v>
      </c>
      <c r="F225" s="118" t="n">
        <v>6</v>
      </c>
      <c r="G225" s="118" t="n">
        <v>6348</v>
      </c>
      <c r="H225" s="118" t="n">
        <v>230</v>
      </c>
      <c r="I225" s="118" t="n">
        <v>6118</v>
      </c>
      <c r="J225" s="119" t="n">
        <v>380.09</v>
      </c>
      <c r="K225" s="119" t="n">
        <v>382.5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矽格(6257)</t>
        </is>
      </c>
      <c r="E226" s="118" t="n">
        <v>228</v>
      </c>
      <c r="F226" s="118" t="n">
        <v>11</v>
      </c>
      <c r="G226" s="118" t="n">
        <v>5026</v>
      </c>
      <c r="H226" s="118" t="n">
        <v>236</v>
      </c>
      <c r="I226" s="118" t="n">
        <v>4790</v>
      </c>
      <c r="J226" s="119" t="n">
        <v>220.43</v>
      </c>
      <c r="K226" s="119" t="n">
        <v>214.82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華星光(4979)</t>
        </is>
      </c>
      <c r="E227" s="118" t="n">
        <v>75</v>
      </c>
      <c r="F227" s="118" t="n">
        <v>2</v>
      </c>
      <c r="G227" s="118" t="n">
        <v>4598</v>
      </c>
      <c r="H227" s="118" t="n">
        <v>122</v>
      </c>
      <c r="I227" s="118" t="n">
        <v>4476</v>
      </c>
      <c r="J227" s="119" t="n">
        <v>613.05</v>
      </c>
      <c r="K227" s="119" t="n">
        <v>611.5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南亞(1303)</t>
        </is>
      </c>
      <c r="E228" s="118" t="n">
        <v>172</v>
      </c>
      <c r="F228" s="118" t="n">
        <v>96</v>
      </c>
      <c r="G228" s="118" t="n">
        <v>3931</v>
      </c>
      <c r="H228" s="118" t="n">
        <v>2182</v>
      </c>
      <c r="I228" s="118" t="n">
        <v>1749</v>
      </c>
      <c r="J228" s="119" t="n">
        <v>228.55</v>
      </c>
      <c r="K228" s="119" t="n">
        <v>227.29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金像電(2368)</t>
        </is>
      </c>
      <c r="E229" s="118" t="n">
        <v>35</v>
      </c>
      <c r="F229" s="118" t="n">
        <v>16</v>
      </c>
      <c r="G229" s="118" t="n">
        <v>3899</v>
      </c>
      <c r="H229" s="118" t="n">
        <v>1817</v>
      </c>
      <c r="I229" s="118" t="n">
        <v>2082</v>
      </c>
      <c r="J229" s="119" t="n">
        <v>1114.09</v>
      </c>
      <c r="K229" s="119" t="n">
        <v>1135.38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穩懋(3105)</t>
        </is>
      </c>
      <c r="E230" s="118" t="n">
        <v>86</v>
      </c>
      <c r="F230" s="118" t="n">
        <v>13</v>
      </c>
      <c r="G230" s="118" t="n">
        <v>3865</v>
      </c>
      <c r="H230" s="118" t="n">
        <v>583</v>
      </c>
      <c r="I230" s="118" t="n">
        <v>3282</v>
      </c>
      <c r="J230" s="119" t="n">
        <v>449.45</v>
      </c>
      <c r="K230" s="119" t="n">
        <v>448.77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緯穎(6669)</t>
        </is>
      </c>
      <c r="E231" s="118" t="n">
        <v>5</v>
      </c>
      <c r="F231" s="118" t="n">
        <v>2</v>
      </c>
      <c r="G231" s="118" t="n">
        <v>3578</v>
      </c>
      <c r="H231" s="118" t="n">
        <v>1526</v>
      </c>
      <c r="I231" s="118" t="n">
        <v>2052</v>
      </c>
      <c r="J231" s="119" t="n">
        <v>7155.6</v>
      </c>
      <c r="K231" s="119" t="n">
        <v>7630.5</v>
      </c>
      <c r="L231" s="191">
        <f>F231*(K231-J231)</f>
        <v/>
      </c>
    </row>
    <row r="232" ht="16.5" customHeight="1">
      <c r="A232" s="121" t="n"/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A233" s="120" t="n"/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富世達(6805)</t>
        </is>
      </c>
      <c r="E233" s="118" t="n">
        <v>30</v>
      </c>
      <c r="F233" s="118" t="n">
        <v>7</v>
      </c>
      <c r="G233" s="118" t="n">
        <v>7082</v>
      </c>
      <c r="H233" s="118" t="n">
        <v>1647</v>
      </c>
      <c r="I233" s="118" t="n">
        <v>5435</v>
      </c>
      <c r="J233" s="119" t="n">
        <v>2360.57</v>
      </c>
      <c r="K233" s="119" t="n">
        <v>2352.86</v>
      </c>
      <c r="L233" s="192">
        <f>F233*(K233-J233)</f>
        <v/>
      </c>
    </row>
    <row r="234" ht="16.5" customHeight="1">
      <c r="A234" s="120" t="n"/>
      <c r="B234" s="120" t="n"/>
      <c r="C234" s="120" t="n"/>
      <c r="D234" s="117" t="inlineStr">
        <is>
          <t>華新科(2492)</t>
        </is>
      </c>
      <c r="E234" s="118" t="n">
        <v>216</v>
      </c>
      <c r="F234" s="118" t="n">
        <v>68</v>
      </c>
      <c r="G234" s="118" t="n">
        <v>6572</v>
      </c>
      <c r="H234" s="118" t="n">
        <v>2033</v>
      </c>
      <c r="I234" s="118" t="n">
        <v>4539</v>
      </c>
      <c r="J234" s="119" t="n">
        <v>304.26</v>
      </c>
      <c r="K234" s="119" t="n">
        <v>299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奇鋐(3017)</t>
        </is>
      </c>
      <c r="E235" s="118" t="n">
        <v>15</v>
      </c>
      <c r="F235" s="118" t="n">
        <v>8</v>
      </c>
      <c r="G235" s="118" t="n">
        <v>5200</v>
      </c>
      <c r="H235" s="118" t="n">
        <v>2832</v>
      </c>
      <c r="I235" s="118" t="n">
        <v>2368</v>
      </c>
      <c r="J235" s="119" t="n">
        <v>3466.6</v>
      </c>
      <c r="K235" s="119" t="n">
        <v>3540.25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國巨*(2327)</t>
        </is>
      </c>
      <c r="E236" s="118" t="n">
        <v>80</v>
      </c>
      <c r="F236" s="118" t="n">
        <v>30</v>
      </c>
      <c r="G236" s="118" t="n">
        <v>4789</v>
      </c>
      <c r="H236" s="118" t="n">
        <v>1800</v>
      </c>
      <c r="I236" s="118" t="n">
        <v>2989</v>
      </c>
      <c r="J236" s="119" t="n">
        <v>598.6</v>
      </c>
      <c r="K236" s="119" t="n">
        <v>600.13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京元電子(2449)</t>
        </is>
      </c>
      <c r="E237" s="118" t="n">
        <v>88</v>
      </c>
      <c r="F237" s="118" t="n">
        <v>4</v>
      </c>
      <c r="G237" s="118" t="n">
        <v>2360</v>
      </c>
      <c r="H237" s="118" t="n">
        <v>95</v>
      </c>
      <c r="I237" s="118" t="n">
        <v>2265</v>
      </c>
      <c r="J237" s="119" t="n">
        <v>268.15</v>
      </c>
      <c r="K237" s="119" t="n">
        <v>238.5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穩懋(3105)</t>
        </is>
      </c>
      <c r="E238" s="118" t="n">
        <v>51</v>
      </c>
      <c r="F238" s="118" t="n">
        <v>19</v>
      </c>
      <c r="G238" s="118" t="n">
        <v>2287</v>
      </c>
      <c r="H238" s="118" t="n">
        <v>855</v>
      </c>
      <c r="I238" s="118" t="n">
        <v>1432</v>
      </c>
      <c r="J238" s="119" t="n">
        <v>448.39</v>
      </c>
      <c r="K238" s="119" t="n">
        <v>450.21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凱美(2375)</t>
        </is>
      </c>
      <c r="E239" s="118" t="n">
        <v>118</v>
      </c>
      <c r="F239" s="118" t="n">
        <v>73</v>
      </c>
      <c r="G239" s="118" t="n">
        <v>1607</v>
      </c>
      <c r="H239" s="118" t="n">
        <v>991</v>
      </c>
      <c r="I239" s="118" t="n">
        <v>616</v>
      </c>
      <c r="J239" s="119" t="n">
        <v>136.18</v>
      </c>
      <c r="K239" s="119" t="n">
        <v>135.78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緯穎(6669)</t>
        </is>
      </c>
      <c r="E240" s="118" t="n">
        <v>2</v>
      </c>
      <c r="F240" s="118" t="n">
        <v>1</v>
      </c>
      <c r="G240" s="118" t="n">
        <v>1530</v>
      </c>
      <c r="H240" s="118" t="n">
        <v>698</v>
      </c>
      <c r="I240" s="118" t="n">
        <v>832</v>
      </c>
      <c r="J240" s="119" t="n">
        <v>7649</v>
      </c>
      <c r="K240" s="119" t="n">
        <v>6975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德微(3675)</t>
        </is>
      </c>
      <c r="E241" s="118" t="n">
        <v>54</v>
      </c>
      <c r="F241" s="118" t="n">
        <v>4</v>
      </c>
      <c r="G241" s="118" t="n">
        <v>1517</v>
      </c>
      <c r="H241" s="118" t="n">
        <v>114</v>
      </c>
      <c r="I241" s="118" t="n">
        <v>1403</v>
      </c>
      <c r="J241" s="119" t="n">
        <v>280.94</v>
      </c>
      <c r="K241" s="119" t="n">
        <v>284.75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金像電(2368)</t>
        </is>
      </c>
      <c r="E242" s="118" t="n">
        <v>13</v>
      </c>
      <c r="F242" s="118" t="n">
        <v>8</v>
      </c>
      <c r="G242" s="118" t="n">
        <v>1452</v>
      </c>
      <c r="H242" s="118" t="n">
        <v>878</v>
      </c>
      <c r="I242" s="118" t="n">
        <v>574</v>
      </c>
      <c r="J242" s="119" t="n">
        <v>1117.31</v>
      </c>
      <c r="K242" s="119" t="n">
        <v>1097.5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台達電(2308)</t>
        </is>
      </c>
      <c r="E244" s="125" t="n">
        <v>52</v>
      </c>
      <c r="F244" s="125" t="n">
        <v>29</v>
      </c>
      <c r="G244" s="125" t="n">
        <v>9443</v>
      </c>
      <c r="H244" s="125" t="n">
        <v>5234</v>
      </c>
      <c r="I244" s="125" t="n">
        <v>4209</v>
      </c>
      <c r="J244" s="126" t="n">
        <v>1815.94</v>
      </c>
      <c r="K244" s="126" t="n">
        <v>1805</v>
      </c>
      <c r="L244" s="192">
        <f>F244*(K244-J244)</f>
        <v/>
      </c>
    </row>
    <row r="245" ht="16.5" customHeight="1">
      <c r="A245" s="127" t="n"/>
      <c r="B245" s="127" t="n"/>
      <c r="C245" s="127" t="n"/>
      <c r="D245" s="124" t="inlineStr">
        <is>
          <t>台積電(2330)</t>
        </is>
      </c>
      <c r="E245" s="125" t="n">
        <v>25</v>
      </c>
      <c r="F245" s="125" t="n">
        <v>9</v>
      </c>
      <c r="G245" s="125" t="n">
        <v>6085</v>
      </c>
      <c r="H245" s="125" t="n">
        <v>2209</v>
      </c>
      <c r="I245" s="125" t="n">
        <v>3876</v>
      </c>
      <c r="J245" s="126" t="n">
        <v>2434.08</v>
      </c>
      <c r="K245" s="126" t="n">
        <v>2454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38</v>
      </c>
      <c r="F246" s="125" t="n">
        <v>32</v>
      </c>
      <c r="G246" s="125" t="n">
        <v>2025</v>
      </c>
      <c r="H246" s="125" t="n">
        <v>1741</v>
      </c>
      <c r="I246" s="125" t="n">
        <v>284</v>
      </c>
      <c r="J246" s="126" t="n">
        <v>532.89</v>
      </c>
      <c r="K246" s="126" t="n">
        <v>544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緯穎(6669)</t>
        </is>
      </c>
      <c r="E247" s="125" t="n">
        <v>2</v>
      </c>
      <c r="F247" s="125" t="n">
        <v>1</v>
      </c>
      <c r="G247" s="125" t="n">
        <v>1747</v>
      </c>
      <c r="H247" s="125" t="n">
        <v>158</v>
      </c>
      <c r="I247" s="125" t="n">
        <v>1589</v>
      </c>
      <c r="J247" s="126" t="n">
        <v>8736.5</v>
      </c>
      <c r="K247" s="126" t="n">
        <v>1575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華邦電(2344)</t>
        </is>
      </c>
      <c r="E248" s="125" t="n">
        <v>93</v>
      </c>
      <c r="F248" s="125" t="n">
        <v>67</v>
      </c>
      <c r="G248" s="125" t="n">
        <v>1729</v>
      </c>
      <c r="H248" s="125" t="n">
        <v>1226</v>
      </c>
      <c r="I248" s="125" t="n">
        <v>503</v>
      </c>
      <c r="J248" s="126" t="n">
        <v>185.88</v>
      </c>
      <c r="K248" s="126" t="n">
        <v>182.97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立隆電(2472)</t>
        </is>
      </c>
      <c r="E249" s="125" t="n">
        <v>65</v>
      </c>
      <c r="F249" s="125" t="n">
        <v>20</v>
      </c>
      <c r="G249" s="125" t="n">
        <v>1551</v>
      </c>
      <c r="H249" s="125" t="n">
        <v>467</v>
      </c>
      <c r="I249" s="125" t="n">
        <v>1084</v>
      </c>
      <c r="J249" s="126" t="n">
        <v>238.58</v>
      </c>
      <c r="K249" s="126" t="n">
        <v>233.55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南亞(1303)</t>
        </is>
      </c>
      <c r="E250" s="125" t="n">
        <v>59</v>
      </c>
      <c r="F250" s="125" t="n">
        <v>44</v>
      </c>
      <c r="G250" s="125" t="n">
        <v>1342</v>
      </c>
      <c r="H250" s="125" t="n">
        <v>993</v>
      </c>
      <c r="I250" s="125" t="n">
        <v>349</v>
      </c>
      <c r="J250" s="126" t="n">
        <v>227.53</v>
      </c>
      <c r="K250" s="126" t="n">
        <v>225.66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景碩(3189)</t>
        </is>
      </c>
      <c r="E251" s="125" t="n">
        <v>14</v>
      </c>
      <c r="F251" s="125" t="n">
        <v>6</v>
      </c>
      <c r="G251" s="125" t="n">
        <v>1291</v>
      </c>
      <c r="H251" s="125" t="n">
        <v>565</v>
      </c>
      <c r="I251" s="125" t="n">
        <v>726</v>
      </c>
      <c r="J251" s="126" t="n">
        <v>922.4299999999999</v>
      </c>
      <c r="K251" s="126" t="n">
        <v>941.67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華通(2313)</t>
        </is>
      </c>
      <c r="E252" s="125" t="n">
        <v>48</v>
      </c>
      <c r="F252" s="125" t="n">
        <v>31</v>
      </c>
      <c r="G252" s="125" t="n">
        <v>1200</v>
      </c>
      <c r="H252" s="125" t="n">
        <v>756</v>
      </c>
      <c r="I252" s="125" t="n">
        <v>444</v>
      </c>
      <c r="J252" s="126" t="n">
        <v>250.02</v>
      </c>
      <c r="K252" s="126" t="n">
        <v>243.77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南電(8046)</t>
        </is>
      </c>
      <c r="E253" s="125" t="n">
        <v>8</v>
      </c>
      <c r="F253" s="125" t="n">
        <v>3</v>
      </c>
      <c r="G253" s="125" t="n">
        <v>956</v>
      </c>
      <c r="H253" s="125" t="n">
        <v>377</v>
      </c>
      <c r="I253" s="125" t="n">
        <v>579</v>
      </c>
      <c r="J253" s="126" t="n">
        <v>1195.62</v>
      </c>
      <c r="K253" s="126" t="n">
        <v>1256.67</v>
      </c>
      <c r="L253" s="191">
        <f>F253*(K253-J253)</f>
        <v/>
      </c>
    </row>
    <row r="254" ht="16.5" customHeight="1">
      <c r="A254" s="128" t="n"/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A255" s="127" t="n"/>
      <c r="B255" s="123" t="inlineStr">
        <is>
          <t>凱基證券</t>
        </is>
      </c>
      <c r="C255" s="123" t="inlineStr">
        <is>
          <t>9200</t>
        </is>
      </c>
      <c r="D255" s="124" t="inlineStr">
        <is>
          <t>南亞(1303)</t>
        </is>
      </c>
      <c r="E255" s="125" t="n">
        <v>2823</v>
      </c>
      <c r="F255" s="125" t="n">
        <v>1145</v>
      </c>
      <c r="G255" s="125" t="n">
        <v>64109</v>
      </c>
      <c r="H255" s="125" t="n">
        <v>25948</v>
      </c>
      <c r="I255" s="125" t="n">
        <v>38161</v>
      </c>
      <c r="J255" s="126" t="n">
        <v>227.09</v>
      </c>
      <c r="K255" s="126" t="n">
        <v>226.62</v>
      </c>
      <c r="L255" s="192">
        <f>F255*(K255-J255)</f>
        <v/>
      </c>
    </row>
    <row r="256" ht="16.5" customHeight="1">
      <c r="A256" s="127" t="n"/>
      <c r="B256" s="127" t="n"/>
      <c r="C256" s="127" t="n"/>
      <c r="D256" s="124" t="inlineStr">
        <is>
          <t>緯穎(6669)</t>
        </is>
      </c>
      <c r="E256" s="125" t="n">
        <v>80</v>
      </c>
      <c r="F256" s="125" t="n">
        <v>6</v>
      </c>
      <c r="G256" s="125" t="n">
        <v>57332</v>
      </c>
      <c r="H256" s="125" t="n">
        <v>4180</v>
      </c>
      <c r="I256" s="125" t="n">
        <v>53152</v>
      </c>
      <c r="J256" s="126" t="n">
        <v>7166.45</v>
      </c>
      <c r="K256" s="126" t="n">
        <v>6966.17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順達(3211)</t>
        </is>
      </c>
      <c r="E257" s="125" t="n">
        <v>834</v>
      </c>
      <c r="F257" s="125" t="n">
        <v>121</v>
      </c>
      <c r="G257" s="125" t="n">
        <v>33706</v>
      </c>
      <c r="H257" s="125" t="n">
        <v>4891</v>
      </c>
      <c r="I257" s="125" t="n">
        <v>28815</v>
      </c>
      <c r="J257" s="126" t="n">
        <v>404.15</v>
      </c>
      <c r="K257" s="126" t="n">
        <v>404.21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創意(3443)</t>
        </is>
      </c>
      <c r="E258" s="125" t="n">
        <v>53</v>
      </c>
      <c r="F258" s="125" t="n">
        <v>5</v>
      </c>
      <c r="G258" s="125" t="n">
        <v>31952</v>
      </c>
      <c r="H258" s="125" t="n">
        <v>3232</v>
      </c>
      <c r="I258" s="125" t="n">
        <v>28720</v>
      </c>
      <c r="J258" s="126" t="n">
        <v>6028.75</v>
      </c>
      <c r="K258" s="126" t="n">
        <v>6463.8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京元電子(2449)</t>
        </is>
      </c>
      <c r="E259" s="125" t="n">
        <v>1139</v>
      </c>
      <c r="F259" s="125" t="n">
        <v>87</v>
      </c>
      <c r="G259" s="125" t="n">
        <v>30407</v>
      </c>
      <c r="H259" s="125" t="n">
        <v>2364</v>
      </c>
      <c r="I259" s="125" t="n">
        <v>28043</v>
      </c>
      <c r="J259" s="126" t="n">
        <v>266.96</v>
      </c>
      <c r="K259" s="126" t="n">
        <v>271.77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雙鴻(3324)</t>
        </is>
      </c>
      <c r="E260" s="125" t="n">
        <v>228</v>
      </c>
      <c r="F260" s="125" t="n">
        <v>5</v>
      </c>
      <c r="G260" s="125" t="n">
        <v>25961</v>
      </c>
      <c r="H260" s="125" t="n">
        <v>565</v>
      </c>
      <c r="I260" s="125" t="n">
        <v>25396</v>
      </c>
      <c r="J260" s="126" t="n">
        <v>1138.64</v>
      </c>
      <c r="K260" s="126" t="n">
        <v>1130.4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禾伸堂(3026)</t>
        </is>
      </c>
      <c r="E261" s="125" t="n">
        <v>345</v>
      </c>
      <c r="F261" s="125" t="n">
        <v>4</v>
      </c>
      <c r="G261" s="125" t="n">
        <v>25613</v>
      </c>
      <c r="H261" s="125" t="n">
        <v>297</v>
      </c>
      <c r="I261" s="125" t="n">
        <v>25316</v>
      </c>
      <c r="J261" s="126" t="n">
        <v>742.41</v>
      </c>
      <c r="K261" s="126" t="n">
        <v>742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台達電(2308)</t>
        </is>
      </c>
      <c r="E262" s="125" t="n">
        <v>136</v>
      </c>
      <c r="F262" s="125" t="n">
        <v>69</v>
      </c>
      <c r="G262" s="125" t="n">
        <v>24799</v>
      </c>
      <c r="H262" s="125" t="n">
        <v>12680</v>
      </c>
      <c r="I262" s="125" t="n">
        <v>12119</v>
      </c>
      <c r="J262" s="126" t="n">
        <v>1823.43</v>
      </c>
      <c r="K262" s="126" t="n">
        <v>1837.61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國巨*(2327)</t>
        </is>
      </c>
      <c r="E263" s="125" t="n">
        <v>412</v>
      </c>
      <c r="F263" s="125" t="n">
        <v>199</v>
      </c>
      <c r="G263" s="125" t="n">
        <v>24624</v>
      </c>
      <c r="H263" s="125" t="n">
        <v>11862</v>
      </c>
      <c r="I263" s="125" t="n">
        <v>12762</v>
      </c>
      <c r="J263" s="126" t="n">
        <v>597.67</v>
      </c>
      <c r="K263" s="126" t="n">
        <v>596.0599999999999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奇鋐(3017)</t>
        </is>
      </c>
      <c r="E264" s="125" t="n">
        <v>70</v>
      </c>
      <c r="F264" s="125" t="n">
        <v>26</v>
      </c>
      <c r="G264" s="125" t="n">
        <v>23648</v>
      </c>
      <c r="H264" s="125" t="n">
        <v>8782</v>
      </c>
      <c r="I264" s="125" t="n">
        <v>14866</v>
      </c>
      <c r="J264" s="126" t="n">
        <v>3378.24</v>
      </c>
      <c r="K264" s="126" t="n">
        <v>3377.69</v>
      </c>
      <c r="L264" s="192">
        <f>F264*(K264-J264)</f>
        <v/>
      </c>
    </row>
    <row r="265" ht="16.5" customHeight="1">
      <c r="A265" s="128" t="n"/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A266" s="127" t="n"/>
      <c r="B266" s="123" t="inlineStr">
        <is>
          <t>富邦證券</t>
        </is>
      </c>
      <c r="C266" s="123" t="inlineStr">
        <is>
          <t>9600</t>
        </is>
      </c>
      <c r="D266" s="124" t="inlineStr">
        <is>
          <t>聯電(2303)</t>
        </is>
      </c>
      <c r="E266" s="125" t="n">
        <v>29001</v>
      </c>
      <c r="F266" s="125" t="n">
        <v>17861</v>
      </c>
      <c r="G266" s="125" t="n">
        <v>373364</v>
      </c>
      <c r="H266" s="125" t="n">
        <v>230004</v>
      </c>
      <c r="I266" s="125" t="n">
        <v>143360</v>
      </c>
      <c r="J266" s="126" t="n">
        <v>128.74</v>
      </c>
      <c r="K266" s="126" t="n">
        <v>128.77</v>
      </c>
      <c r="L266" s="191">
        <f>F266*(K266-J266)</f>
        <v/>
      </c>
    </row>
    <row r="267" ht="16.5" customHeight="1">
      <c r="A267" s="127" t="n"/>
      <c r="B267" s="127" t="n"/>
      <c r="C267" s="127" t="n"/>
      <c r="D267" s="124" t="inlineStr">
        <is>
          <t>國巨*(2327)</t>
        </is>
      </c>
      <c r="E267" s="125" t="n">
        <v>4992</v>
      </c>
      <c r="F267" s="125" t="n">
        <v>1076</v>
      </c>
      <c r="G267" s="125" t="n">
        <v>302274</v>
      </c>
      <c r="H267" s="125" t="n">
        <v>64189</v>
      </c>
      <c r="I267" s="125" t="n">
        <v>238085</v>
      </c>
      <c r="J267" s="126" t="n">
        <v>605.52</v>
      </c>
      <c r="K267" s="126" t="n">
        <v>596.55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金居(8358)</t>
        </is>
      </c>
      <c r="E268" s="125" t="n">
        <v>4128</v>
      </c>
      <c r="F268" s="125" t="n">
        <v>513</v>
      </c>
      <c r="G268" s="125" t="n">
        <v>223216</v>
      </c>
      <c r="H268" s="125" t="n">
        <v>26994</v>
      </c>
      <c r="I268" s="125" t="n">
        <v>196222</v>
      </c>
      <c r="J268" s="126" t="n">
        <v>540.74</v>
      </c>
      <c r="K268" s="126" t="n">
        <v>526.2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華新科(2492)</t>
        </is>
      </c>
      <c r="E269" s="125" t="n">
        <v>4492</v>
      </c>
      <c r="F269" s="125" t="n">
        <v>1147</v>
      </c>
      <c r="G269" s="125" t="n">
        <v>140382</v>
      </c>
      <c r="H269" s="125" t="n">
        <v>35485</v>
      </c>
      <c r="I269" s="125" t="n">
        <v>104897</v>
      </c>
      <c r="J269" s="126" t="n">
        <v>312.51</v>
      </c>
      <c r="K269" s="126" t="n">
        <v>309.37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京元電子(2449)</t>
        </is>
      </c>
      <c r="E270" s="125" t="n">
        <v>4792</v>
      </c>
      <c r="F270" s="125" t="n">
        <v>174</v>
      </c>
      <c r="G270" s="125" t="n">
        <v>127552</v>
      </c>
      <c r="H270" s="125" t="n">
        <v>4670</v>
      </c>
      <c r="I270" s="125" t="n">
        <v>122882</v>
      </c>
      <c r="J270" s="126" t="n">
        <v>266.18</v>
      </c>
      <c r="K270" s="126" t="n">
        <v>268.4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欣興(3037)</t>
        </is>
      </c>
      <c r="E271" s="125" t="n">
        <v>965</v>
      </c>
      <c r="F271" s="125" t="n">
        <v>720</v>
      </c>
      <c r="G271" s="125" t="n">
        <v>107088</v>
      </c>
      <c r="H271" s="125" t="n">
        <v>79874</v>
      </c>
      <c r="I271" s="125" t="n">
        <v>27214</v>
      </c>
      <c r="J271" s="126" t="n">
        <v>1109.72</v>
      </c>
      <c r="K271" s="126" t="n">
        <v>1109.36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台達電(2308)</t>
        </is>
      </c>
      <c r="E272" s="125" t="n">
        <v>565</v>
      </c>
      <c r="F272" s="125" t="n">
        <v>228</v>
      </c>
      <c r="G272" s="125" t="n">
        <v>103310</v>
      </c>
      <c r="H272" s="125" t="n">
        <v>41776</v>
      </c>
      <c r="I272" s="125" t="n">
        <v>61534</v>
      </c>
      <c r="J272" s="126" t="n">
        <v>1828.5</v>
      </c>
      <c r="K272" s="126" t="n">
        <v>1832.28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聯鈞(3450)</t>
        </is>
      </c>
      <c r="E273" s="125" t="n">
        <v>1598</v>
      </c>
      <c r="F273" s="125" t="n">
        <v>67</v>
      </c>
      <c r="G273" s="125" t="n">
        <v>101166</v>
      </c>
      <c r="H273" s="125" t="n">
        <v>3993</v>
      </c>
      <c r="I273" s="125" t="n">
        <v>97173</v>
      </c>
      <c r="J273" s="126" t="n">
        <v>633.08</v>
      </c>
      <c r="K273" s="126" t="n">
        <v>595.9299999999999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群創(3481)</t>
        </is>
      </c>
      <c r="E274" s="125" t="n">
        <v>18983</v>
      </c>
      <c r="F274" s="125" t="n">
        <v>12274</v>
      </c>
      <c r="G274" s="125" t="n">
        <v>92780</v>
      </c>
      <c r="H274" s="125" t="n">
        <v>58787</v>
      </c>
      <c r="I274" s="125" t="n">
        <v>33993</v>
      </c>
      <c r="J274" s="126" t="n">
        <v>48.88</v>
      </c>
      <c r="K274" s="126" t="n">
        <v>47.9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聯發科(2454)</t>
        </is>
      </c>
      <c r="E275" s="125" t="n">
        <v>199</v>
      </c>
      <c r="F275" s="125" t="n">
        <v>173</v>
      </c>
      <c r="G275" s="125" t="n">
        <v>79289</v>
      </c>
      <c r="H275" s="125" t="n">
        <v>68830</v>
      </c>
      <c r="I275" s="125" t="n">
        <v>10459</v>
      </c>
      <c r="J275" s="126" t="n">
        <v>3984.36</v>
      </c>
      <c r="K275" s="126" t="n">
        <v>3978.6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玉晶光(3406)</t>
        </is>
      </c>
      <c r="E277" s="132" t="n">
        <v>265</v>
      </c>
      <c r="F277" s="132" t="n">
        <v>38</v>
      </c>
      <c r="G277" s="132" t="n">
        <v>24129</v>
      </c>
      <c r="H277" s="132" t="n">
        <v>3421</v>
      </c>
      <c r="I277" s="132" t="n">
        <v>20708</v>
      </c>
      <c r="J277" s="133" t="n">
        <v>910.51</v>
      </c>
      <c r="K277" s="133" t="n">
        <v>900.34</v>
      </c>
      <c r="L277" s="192">
        <f>F277*(K277-J277)</f>
        <v/>
      </c>
    </row>
    <row r="278" ht="16.5" customHeight="1">
      <c r="A278" s="134" t="n"/>
      <c r="B278" s="134" t="n"/>
      <c r="C278" s="134" t="n"/>
      <c r="D278" s="131" t="inlineStr">
        <is>
          <t>信驊(5274)</t>
        </is>
      </c>
      <c r="E278" s="132" t="n">
        <v>7</v>
      </c>
      <c r="F278" s="132" t="n">
        <v>1</v>
      </c>
      <c r="G278" s="132" t="n">
        <v>11027</v>
      </c>
      <c r="H278" s="132" t="n">
        <v>1558</v>
      </c>
      <c r="I278" s="132" t="n">
        <v>9469</v>
      </c>
      <c r="J278" s="133" t="n">
        <v>15752.86</v>
      </c>
      <c r="K278" s="133" t="n">
        <v>15577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富喬(1815)</t>
        </is>
      </c>
      <c r="E279" s="132" t="n">
        <v>869</v>
      </c>
      <c r="F279" s="132" t="n">
        <v>190</v>
      </c>
      <c r="G279" s="132" t="n">
        <v>10639</v>
      </c>
      <c r="H279" s="132" t="n">
        <v>2268</v>
      </c>
      <c r="I279" s="132" t="n">
        <v>8371</v>
      </c>
      <c r="J279" s="133" t="n">
        <v>122.43</v>
      </c>
      <c r="K279" s="133" t="n">
        <v>119.39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國巨*(2327)</t>
        </is>
      </c>
      <c r="E280" s="132" t="n">
        <v>136</v>
      </c>
      <c r="F280" s="132" t="n">
        <v>107</v>
      </c>
      <c r="G280" s="132" t="n">
        <v>8143</v>
      </c>
      <c r="H280" s="132" t="n">
        <v>6369</v>
      </c>
      <c r="I280" s="132" t="n">
        <v>1774</v>
      </c>
      <c r="J280" s="133" t="n">
        <v>598.75</v>
      </c>
      <c r="K280" s="133" t="n">
        <v>595.27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南亞(1303)</t>
        </is>
      </c>
      <c r="E281" s="132" t="n">
        <v>350</v>
      </c>
      <c r="F281" s="132" t="n">
        <v>229</v>
      </c>
      <c r="G281" s="132" t="n">
        <v>7962</v>
      </c>
      <c r="H281" s="132" t="n">
        <v>5216</v>
      </c>
      <c r="I281" s="132" t="n">
        <v>2746</v>
      </c>
      <c r="J281" s="133" t="n">
        <v>227.49</v>
      </c>
      <c r="K281" s="133" t="n">
        <v>227.79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南亞科(2408)</t>
        </is>
      </c>
      <c r="E282" s="132" t="n">
        <v>115</v>
      </c>
      <c r="F282" s="132" t="n">
        <v>101</v>
      </c>
      <c r="G282" s="132" t="n">
        <v>6209</v>
      </c>
      <c r="H282" s="132" t="n">
        <v>5466</v>
      </c>
      <c r="I282" s="132" t="n">
        <v>743</v>
      </c>
      <c r="J282" s="133" t="n">
        <v>539.9400000000001</v>
      </c>
      <c r="K282" s="133" t="n">
        <v>541.15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南電(8046)</t>
        </is>
      </c>
      <c r="E283" s="132" t="n">
        <v>49</v>
      </c>
      <c r="F283" s="132" t="n">
        <v>43</v>
      </c>
      <c r="G283" s="132" t="n">
        <v>6112</v>
      </c>
      <c r="H283" s="132" t="n">
        <v>5343</v>
      </c>
      <c r="I283" s="132" t="n">
        <v>769</v>
      </c>
      <c r="J283" s="133" t="n">
        <v>1247.27</v>
      </c>
      <c r="K283" s="133" t="n">
        <v>1242.47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高力(8996)</t>
        </is>
      </c>
      <c r="E284" s="132" t="n">
        <v>43</v>
      </c>
      <c r="F284" s="132" t="n">
        <v>7</v>
      </c>
      <c r="G284" s="132" t="n">
        <v>5558</v>
      </c>
      <c r="H284" s="132" t="n">
        <v>886</v>
      </c>
      <c r="I284" s="132" t="n">
        <v>4672</v>
      </c>
      <c r="J284" s="133" t="n">
        <v>1292.53</v>
      </c>
      <c r="K284" s="133" t="n">
        <v>1265.71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4707</v>
      </c>
      <c r="H285" s="132" t="n">
        <v>3004</v>
      </c>
      <c r="I285" s="132" t="n">
        <v>1703</v>
      </c>
      <c r="J285" s="133" t="n">
        <v>6724.71</v>
      </c>
      <c r="K285" s="133" t="n">
        <v>7510.5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穩懋(3105)</t>
        </is>
      </c>
      <c r="E286" s="132" t="n">
        <v>93</v>
      </c>
      <c r="F286" s="132" t="n">
        <v>41</v>
      </c>
      <c r="G286" s="132" t="n">
        <v>4178</v>
      </c>
      <c r="H286" s="132" t="n">
        <v>1825</v>
      </c>
      <c r="I286" s="132" t="n">
        <v>2353</v>
      </c>
      <c r="J286" s="133" t="n">
        <v>449.23</v>
      </c>
      <c r="K286" s="133" t="n">
        <v>445.07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大立光(3008)</t>
        </is>
      </c>
      <c r="E288" s="138" t="n">
        <v>33</v>
      </c>
      <c r="F288" s="138" t="n">
        <v>3</v>
      </c>
      <c r="G288" s="138" t="n">
        <v>23552</v>
      </c>
      <c r="H288" s="138" t="n">
        <v>2384</v>
      </c>
      <c r="I288" s="138" t="n">
        <v>21168</v>
      </c>
      <c r="J288" s="139" t="n">
        <v>7136.91</v>
      </c>
      <c r="K288" s="139" t="n">
        <v>7945</v>
      </c>
      <c r="L288" s="191">
        <f>F288*(K288-J288)</f>
        <v/>
      </c>
    </row>
    <row r="289" ht="16.5" customHeight="1">
      <c r="A289" s="140" t="n"/>
      <c r="B289" s="140" t="n"/>
      <c r="C289" s="140" t="n"/>
      <c r="D289" s="137" t="inlineStr">
        <is>
          <t>南亞科(2408)</t>
        </is>
      </c>
      <c r="E289" s="138" t="n">
        <v>352</v>
      </c>
      <c r="F289" s="138" t="n">
        <v>230</v>
      </c>
      <c r="G289" s="138" t="n">
        <v>19324</v>
      </c>
      <c r="H289" s="138" t="n">
        <v>12661</v>
      </c>
      <c r="I289" s="138" t="n">
        <v>6663</v>
      </c>
      <c r="J289" s="139" t="n">
        <v>548.98</v>
      </c>
      <c r="K289" s="139" t="n">
        <v>550.47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18</v>
      </c>
      <c r="F290" s="138" t="n">
        <v>1</v>
      </c>
      <c r="G290" s="138" t="n">
        <v>11013</v>
      </c>
      <c r="H290" s="138" t="n">
        <v>21</v>
      </c>
      <c r="I290" s="138" t="n">
        <v>10992</v>
      </c>
      <c r="J290" s="139" t="n">
        <v>6118.44</v>
      </c>
      <c r="K290" s="139" t="n">
        <v>211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凱美(2375)</t>
        </is>
      </c>
      <c r="E291" s="138" t="n">
        <v>130</v>
      </c>
      <c r="F291" s="138" t="n">
        <v>6</v>
      </c>
      <c r="G291" s="138" t="n">
        <v>1812</v>
      </c>
      <c r="H291" s="138" t="n">
        <v>86</v>
      </c>
      <c r="I291" s="138" t="n">
        <v>1726</v>
      </c>
      <c r="J291" s="139" t="n">
        <v>139.37</v>
      </c>
      <c r="K291" s="139" t="n">
        <v>142.83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直得(1597)</t>
        </is>
      </c>
      <c r="E292" s="138" t="n">
        <v>120</v>
      </c>
      <c r="F292" s="138" t="n">
        <v>2</v>
      </c>
      <c r="G292" s="138" t="n">
        <v>1713</v>
      </c>
      <c r="H292" s="138" t="n">
        <v>30</v>
      </c>
      <c r="I292" s="138" t="n">
        <v>1683</v>
      </c>
      <c r="J292" s="139" t="n">
        <v>142.75</v>
      </c>
      <c r="K292" s="139" t="n">
        <v>152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波若威(3163)</t>
        </is>
      </c>
      <c r="E293" s="138" t="n">
        <v>21</v>
      </c>
      <c r="F293" s="138" t="n">
        <v>5</v>
      </c>
      <c r="G293" s="138" t="n">
        <v>1568</v>
      </c>
      <c r="H293" s="138" t="n">
        <v>382</v>
      </c>
      <c r="I293" s="138" t="n">
        <v>1186</v>
      </c>
      <c r="J293" s="139" t="n">
        <v>746.86</v>
      </c>
      <c r="K293" s="139" t="n">
        <v>764.4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日月光投控(3711)</t>
        </is>
      </c>
      <c r="E294" s="138" t="n">
        <v>23</v>
      </c>
      <c r="F294" s="138" t="n">
        <v>8</v>
      </c>
      <c r="G294" s="138" t="n">
        <v>1429</v>
      </c>
      <c r="H294" s="138" t="n">
        <v>467</v>
      </c>
      <c r="I294" s="138" t="n">
        <v>962</v>
      </c>
      <c r="J294" s="139" t="n">
        <v>621.22</v>
      </c>
      <c r="K294" s="139" t="n">
        <v>583.75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亞電(4939)</t>
        </is>
      </c>
      <c r="E295" s="138" t="n">
        <v>151</v>
      </c>
      <c r="F295" s="138" t="n">
        <v>75</v>
      </c>
      <c r="G295" s="138" t="n">
        <v>1398</v>
      </c>
      <c r="H295" s="138" t="n">
        <v>672</v>
      </c>
      <c r="I295" s="138" t="n">
        <v>726</v>
      </c>
      <c r="J295" s="139" t="n">
        <v>92.56</v>
      </c>
      <c r="K295" s="139" t="n">
        <v>89.55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台半(5425)</t>
        </is>
      </c>
      <c r="E296" s="138" t="n">
        <v>134</v>
      </c>
      <c r="F296" s="138" t="n">
        <v>31</v>
      </c>
      <c r="G296" s="138" t="n">
        <v>1328</v>
      </c>
      <c r="H296" s="138" t="n">
        <v>314</v>
      </c>
      <c r="I296" s="138" t="n">
        <v>1014</v>
      </c>
      <c r="J296" s="139" t="n">
        <v>99.06999999999999</v>
      </c>
      <c r="K296" s="139" t="n">
        <v>101.39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華邦電(2344)</t>
        </is>
      </c>
      <c r="E297" s="138" t="n">
        <v>71</v>
      </c>
      <c r="F297" s="138" t="n">
        <v>46</v>
      </c>
      <c r="G297" s="138" t="n">
        <v>1326</v>
      </c>
      <c r="H297" s="138" t="n">
        <v>845</v>
      </c>
      <c r="I297" s="138" t="n">
        <v>481</v>
      </c>
      <c r="J297" s="139" t="n">
        <v>186.75</v>
      </c>
      <c r="K297" s="139" t="n">
        <v>183.65</v>
      </c>
      <c r="L297" s="192">
        <f>F297*(K297-J297)</f>
        <v/>
      </c>
    </row>
    <row r="298" ht="16.5" customHeight="1">
      <c r="A298" s="141" t="n"/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A299" s="140" t="n"/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大立光(3008)</t>
        </is>
      </c>
      <c r="E299" s="138" t="n">
        <v>18</v>
      </c>
      <c r="F299" s="138" t="n">
        <v>3</v>
      </c>
      <c r="G299" s="138" t="n">
        <v>12774</v>
      </c>
      <c r="H299" s="138" t="n">
        <v>1792</v>
      </c>
      <c r="I299" s="138" t="n">
        <v>10982</v>
      </c>
      <c r="J299" s="139" t="n">
        <v>7096.5</v>
      </c>
      <c r="K299" s="139" t="n">
        <v>5973</v>
      </c>
      <c r="L299" s="192">
        <f>F299*(K299-J299)</f>
        <v/>
      </c>
    </row>
    <row r="300" ht="16.5" customHeight="1">
      <c r="A300" s="140" t="n"/>
      <c r="B300" s="140" t="n"/>
      <c r="C300" s="140" t="n"/>
      <c r="D300" s="137" t="inlineStr">
        <is>
          <t>富喬(1815)</t>
        </is>
      </c>
      <c r="E300" s="138" t="n">
        <v>597</v>
      </c>
      <c r="F300" s="138" t="n">
        <v>546</v>
      </c>
      <c r="G300" s="138" t="n">
        <v>7442</v>
      </c>
      <c r="H300" s="138" t="n">
        <v>6299</v>
      </c>
      <c r="I300" s="138" t="n">
        <v>1143</v>
      </c>
      <c r="J300" s="139" t="n">
        <v>124.66</v>
      </c>
      <c r="K300" s="139" t="n">
        <v>115.37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南亞科(2408)</t>
        </is>
      </c>
      <c r="E301" s="138" t="n">
        <v>125</v>
      </c>
      <c r="F301" s="138" t="n">
        <v>69</v>
      </c>
      <c r="G301" s="138" t="n">
        <v>6801</v>
      </c>
      <c r="H301" s="138" t="n">
        <v>3805</v>
      </c>
      <c r="I301" s="138" t="n">
        <v>2996</v>
      </c>
      <c r="J301" s="139" t="n">
        <v>544.05</v>
      </c>
      <c r="K301" s="139" t="n">
        <v>551.46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亞電(4939)</t>
        </is>
      </c>
      <c r="E302" s="138" t="n">
        <v>651</v>
      </c>
      <c r="F302" s="138" t="n">
        <v>595</v>
      </c>
      <c r="G302" s="138" t="n">
        <v>6038</v>
      </c>
      <c r="H302" s="138" t="n">
        <v>5524</v>
      </c>
      <c r="I302" s="138" t="n">
        <v>514</v>
      </c>
      <c r="J302" s="139" t="n">
        <v>92.75</v>
      </c>
      <c r="K302" s="139" t="n">
        <v>92.84999999999999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群創(3481)</t>
        </is>
      </c>
      <c r="E303" s="138" t="n">
        <v>1068</v>
      </c>
      <c r="F303" s="138" t="n">
        <v>1010</v>
      </c>
      <c r="G303" s="138" t="n">
        <v>5220</v>
      </c>
      <c r="H303" s="138" t="n">
        <v>4757</v>
      </c>
      <c r="I303" s="138" t="n">
        <v>463</v>
      </c>
      <c r="J303" s="139" t="n">
        <v>48.88</v>
      </c>
      <c r="K303" s="139" t="n">
        <v>47.1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緯穎(6669)</t>
        </is>
      </c>
      <c r="E304" s="138" t="n">
        <v>4</v>
      </c>
      <c r="F304" s="138" t="n">
        <v>2</v>
      </c>
      <c r="G304" s="138" t="n">
        <v>2783</v>
      </c>
      <c r="H304" s="138" t="n">
        <v>1574</v>
      </c>
      <c r="I304" s="138" t="n">
        <v>1209</v>
      </c>
      <c r="J304" s="139" t="n">
        <v>6956.5</v>
      </c>
      <c r="K304" s="139" t="n">
        <v>7867.5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台達電(2308)</t>
        </is>
      </c>
      <c r="E305" s="138" t="n">
        <v>15</v>
      </c>
      <c r="F305" s="138" t="n">
        <v>6</v>
      </c>
      <c r="G305" s="138" t="n">
        <v>2719</v>
      </c>
      <c r="H305" s="138" t="n">
        <v>1121</v>
      </c>
      <c r="I305" s="138" t="n">
        <v>1598</v>
      </c>
      <c r="J305" s="139" t="n">
        <v>1812.67</v>
      </c>
      <c r="K305" s="139" t="n">
        <v>1868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華邦電(2344)</t>
        </is>
      </c>
      <c r="E306" s="138" t="n">
        <v>145</v>
      </c>
      <c r="F306" s="138" t="n">
        <v>53</v>
      </c>
      <c r="G306" s="138" t="n">
        <v>2669</v>
      </c>
      <c r="H306" s="138" t="n">
        <v>983</v>
      </c>
      <c r="I306" s="138" t="n">
        <v>1686</v>
      </c>
      <c r="J306" s="139" t="n">
        <v>184.09</v>
      </c>
      <c r="K306" s="139" t="n">
        <v>185.43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宏致(3605)</t>
        </is>
      </c>
      <c r="E307" s="138" t="n">
        <v>165</v>
      </c>
      <c r="F307" s="138" t="n">
        <v>123</v>
      </c>
      <c r="G307" s="138" t="n">
        <v>2133</v>
      </c>
      <c r="H307" s="138" t="n">
        <v>1497</v>
      </c>
      <c r="I307" s="138" t="n">
        <v>636</v>
      </c>
      <c r="J307" s="139" t="n">
        <v>129.28</v>
      </c>
      <c r="K307" s="139" t="n">
        <v>121.73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南電(8046)</t>
        </is>
      </c>
      <c r="E308" s="138" t="n">
        <v>14</v>
      </c>
      <c r="F308" s="138" t="n">
        <v>11</v>
      </c>
      <c r="G308" s="138" t="n">
        <v>1778</v>
      </c>
      <c r="H308" s="138" t="n">
        <v>1404</v>
      </c>
      <c r="I308" s="138" t="n">
        <v>374</v>
      </c>
      <c r="J308" s="139" t="n">
        <v>1269.64</v>
      </c>
      <c r="K308" s="139" t="n">
        <v>1276.18</v>
      </c>
      <c r="L308" s="191">
        <f>F308*(K308-J308)</f>
        <v/>
      </c>
    </row>
    <row r="309" ht="16.5" customHeight="1">
      <c r="A309" s="141" t="n"/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A310" s="140" t="n"/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華通(2313)</t>
        </is>
      </c>
      <c r="E310" s="138" t="n">
        <v>542</v>
      </c>
      <c r="F310" s="138" t="n">
        <v>31</v>
      </c>
      <c r="G310" s="138" t="n">
        <v>13351</v>
      </c>
      <c r="H310" s="138" t="n">
        <v>764</v>
      </c>
      <c r="I310" s="138" t="n">
        <v>12587</v>
      </c>
      <c r="J310" s="139" t="n">
        <v>246.33</v>
      </c>
      <c r="K310" s="139" t="n">
        <v>246.42</v>
      </c>
      <c r="L310" s="191">
        <f>F310*(K310-J310)</f>
        <v/>
      </c>
    </row>
    <row r="311" ht="16.5" customHeight="1">
      <c r="A311" s="140" t="n"/>
      <c r="B311" s="140" t="n"/>
      <c r="C311" s="140" t="n"/>
      <c r="D311" s="137" t="inlineStr">
        <is>
          <t>昇達科(3491)</t>
        </is>
      </c>
      <c r="E311" s="138" t="n">
        <v>56</v>
      </c>
      <c r="F311" s="138" t="n">
        <v>1</v>
      </c>
      <c r="G311" s="138" t="n">
        <v>8375</v>
      </c>
      <c r="H311" s="138" t="n">
        <v>2</v>
      </c>
      <c r="I311" s="138" t="n">
        <v>8373</v>
      </c>
      <c r="J311" s="139" t="n">
        <v>1495.59</v>
      </c>
      <c r="K311" s="139" t="n">
        <v>18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禾伸堂(3026)</t>
        </is>
      </c>
      <c r="E312" s="138" t="n">
        <v>79</v>
      </c>
      <c r="F312" s="138" t="n">
        <v>8</v>
      </c>
      <c r="G312" s="138" t="n">
        <v>5753</v>
      </c>
      <c r="H312" s="138" t="n">
        <v>615</v>
      </c>
      <c r="I312" s="138" t="n">
        <v>5138</v>
      </c>
      <c r="J312" s="139" t="n">
        <v>728.27</v>
      </c>
      <c r="K312" s="139" t="n">
        <v>769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日電貿(3090)</t>
        </is>
      </c>
      <c r="E313" s="138" t="n">
        <v>234</v>
      </c>
      <c r="F313" s="138" t="n">
        <v>91</v>
      </c>
      <c r="G313" s="138" t="n">
        <v>4194</v>
      </c>
      <c r="H313" s="138" t="n">
        <v>1593</v>
      </c>
      <c r="I313" s="138" t="n">
        <v>2601</v>
      </c>
      <c r="J313" s="139" t="n">
        <v>179.25</v>
      </c>
      <c r="K313" s="139" t="n">
        <v>175.01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南亞科(2408)</t>
        </is>
      </c>
      <c r="E314" s="138" t="n">
        <v>69</v>
      </c>
      <c r="F314" s="138" t="n">
        <v>43</v>
      </c>
      <c r="G314" s="138" t="n">
        <v>3735</v>
      </c>
      <c r="H314" s="138" t="n">
        <v>2298</v>
      </c>
      <c r="I314" s="138" t="n">
        <v>1437</v>
      </c>
      <c r="J314" s="139" t="n">
        <v>541.3200000000001</v>
      </c>
      <c r="K314" s="139" t="n">
        <v>534.51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南電(8046)</t>
        </is>
      </c>
      <c r="E315" s="138" t="n">
        <v>28</v>
      </c>
      <c r="F315" s="138" t="n">
        <v>13</v>
      </c>
      <c r="G315" s="138" t="n">
        <v>3440</v>
      </c>
      <c r="H315" s="138" t="n">
        <v>1661</v>
      </c>
      <c r="I315" s="138" t="n">
        <v>1779</v>
      </c>
      <c r="J315" s="139" t="n">
        <v>1228.68</v>
      </c>
      <c r="K315" s="139" t="n">
        <v>1277.69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富世達(6805)</t>
        </is>
      </c>
      <c r="E316" s="138" t="n">
        <v>14</v>
      </c>
      <c r="F316" s="138" t="n">
        <v>7</v>
      </c>
      <c r="G316" s="138" t="n">
        <v>3291</v>
      </c>
      <c r="H316" s="138" t="n">
        <v>1674</v>
      </c>
      <c r="I316" s="138" t="n">
        <v>1617</v>
      </c>
      <c r="J316" s="139" t="n">
        <v>2350.5</v>
      </c>
      <c r="K316" s="139" t="n">
        <v>2391.29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華邦電(2344)</t>
        </is>
      </c>
      <c r="E317" s="138" t="n">
        <v>176</v>
      </c>
      <c r="F317" s="138" t="n">
        <v>74</v>
      </c>
      <c r="G317" s="138" t="n">
        <v>3277</v>
      </c>
      <c r="H317" s="138" t="n">
        <v>1360</v>
      </c>
      <c r="I317" s="138" t="n">
        <v>1917</v>
      </c>
      <c r="J317" s="139" t="n">
        <v>186.2</v>
      </c>
      <c r="K317" s="139" t="n">
        <v>183.82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穩懋(3105)</t>
        </is>
      </c>
      <c r="E318" s="138" t="n">
        <v>72</v>
      </c>
      <c r="F318" s="138" t="n">
        <v>45</v>
      </c>
      <c r="G318" s="138" t="n">
        <v>3174</v>
      </c>
      <c r="H318" s="138" t="n">
        <v>1956</v>
      </c>
      <c r="I318" s="138" t="n">
        <v>1218</v>
      </c>
      <c r="J318" s="139" t="n">
        <v>440.85</v>
      </c>
      <c r="K318" s="139" t="n">
        <v>434.58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台積電(2330)</t>
        </is>
      </c>
      <c r="E319" s="138" t="n">
        <v>9</v>
      </c>
      <c r="F319" s="138" t="n">
        <v>7</v>
      </c>
      <c r="G319" s="138" t="n">
        <v>2061</v>
      </c>
      <c r="H319" s="138" t="n">
        <v>1636</v>
      </c>
      <c r="I319" s="138" t="n">
        <v>425</v>
      </c>
      <c r="J319" s="139" t="n">
        <v>2289.67</v>
      </c>
      <c r="K319" s="139" t="n">
        <v>2337.14</v>
      </c>
      <c r="L319" s="191">
        <f>F319*(K319-J319)</f>
        <v/>
      </c>
    </row>
    <row r="320" ht="16.5" customHeight="1">
      <c r="A320" s="141" t="n"/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A321" s="140" t="n"/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禾伸堂(3026)</t>
        </is>
      </c>
      <c r="E321" s="138" t="n">
        <v>954</v>
      </c>
      <c r="F321" s="138" t="n">
        <v>39</v>
      </c>
      <c r="G321" s="138" t="n">
        <v>70692</v>
      </c>
      <c r="H321" s="138" t="n">
        <v>2854</v>
      </c>
      <c r="I321" s="138" t="n">
        <v>67838</v>
      </c>
      <c r="J321" s="139" t="n">
        <v>741.01</v>
      </c>
      <c r="K321" s="139" t="n">
        <v>731.72</v>
      </c>
      <c r="L321" s="192">
        <f>F321*(K321-J321)</f>
        <v/>
      </c>
    </row>
    <row r="322" ht="16.5" customHeight="1">
      <c r="A322" s="140" t="n"/>
      <c r="B322" s="140" t="n"/>
      <c r="C322" s="140" t="n"/>
      <c r="D322" s="137" t="inlineStr">
        <is>
          <t>緯穎(6669)</t>
        </is>
      </c>
      <c r="E322" s="138" t="n">
        <v>21</v>
      </c>
      <c r="F322" s="138" t="n">
        <v>13</v>
      </c>
      <c r="G322" s="138" t="n">
        <v>14942</v>
      </c>
      <c r="H322" s="138" t="n">
        <v>9375</v>
      </c>
      <c r="I322" s="138" t="n">
        <v>5567</v>
      </c>
      <c r="J322" s="139" t="n">
        <v>7115</v>
      </c>
      <c r="K322" s="139" t="n">
        <v>7211.54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25</v>
      </c>
      <c r="F323" s="138" t="n">
        <v>12</v>
      </c>
      <c r="G323" s="138" t="n">
        <v>9886</v>
      </c>
      <c r="H323" s="138" t="n">
        <v>4966</v>
      </c>
      <c r="I323" s="138" t="n">
        <v>4920</v>
      </c>
      <c r="J323" s="139" t="n">
        <v>3954.24</v>
      </c>
      <c r="K323" s="139" t="n">
        <v>4138.17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台達電(2308)</t>
        </is>
      </c>
      <c r="E324" s="138" t="n">
        <v>51</v>
      </c>
      <c r="F324" s="138" t="n">
        <v>29</v>
      </c>
      <c r="G324" s="138" t="n">
        <v>9153</v>
      </c>
      <c r="H324" s="138" t="n">
        <v>5197</v>
      </c>
      <c r="I324" s="138" t="n">
        <v>3956</v>
      </c>
      <c r="J324" s="139" t="n">
        <v>1794.69</v>
      </c>
      <c r="K324" s="139" t="n">
        <v>1792.1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欣興(3037)</t>
        </is>
      </c>
      <c r="E325" s="138" t="n">
        <v>41</v>
      </c>
      <c r="F325" s="138" t="n">
        <v>31</v>
      </c>
      <c r="G325" s="138" t="n">
        <v>4600</v>
      </c>
      <c r="H325" s="138" t="n">
        <v>3462</v>
      </c>
      <c r="I325" s="138" t="n">
        <v>1138</v>
      </c>
      <c r="J325" s="139" t="n">
        <v>1121.83</v>
      </c>
      <c r="K325" s="139" t="n">
        <v>1116.68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群創(3481)</t>
        </is>
      </c>
      <c r="E326" s="138" t="n">
        <v>831</v>
      </c>
      <c r="F326" s="138" t="n">
        <v>795</v>
      </c>
      <c r="G326" s="138" t="n">
        <v>4039</v>
      </c>
      <c r="H326" s="138" t="n">
        <v>3864</v>
      </c>
      <c r="I326" s="138" t="n">
        <v>175</v>
      </c>
      <c r="J326" s="139" t="n">
        <v>48.6</v>
      </c>
      <c r="K326" s="139" t="n">
        <v>48.6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華邦電(2344)</t>
        </is>
      </c>
      <c r="E327" s="138" t="n">
        <v>193</v>
      </c>
      <c r="F327" s="138" t="n">
        <v>114</v>
      </c>
      <c r="G327" s="138" t="n">
        <v>3588</v>
      </c>
      <c r="H327" s="138" t="n">
        <v>2093</v>
      </c>
      <c r="I327" s="138" t="n">
        <v>1495</v>
      </c>
      <c r="J327" s="139" t="n">
        <v>185.89</v>
      </c>
      <c r="K327" s="139" t="n">
        <v>183.57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尖點(8021)</t>
        </is>
      </c>
      <c r="E328" s="138" t="n">
        <v>72</v>
      </c>
      <c r="F328" s="138" t="n">
        <v>60</v>
      </c>
      <c r="G328" s="138" t="n">
        <v>3249</v>
      </c>
      <c r="H328" s="138" t="n">
        <v>2746</v>
      </c>
      <c r="I328" s="138" t="n">
        <v>503</v>
      </c>
      <c r="J328" s="139" t="n">
        <v>451.31</v>
      </c>
      <c r="K328" s="139" t="n">
        <v>457.62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29</v>
      </c>
      <c r="F329" s="138" t="n">
        <v>23</v>
      </c>
      <c r="G329" s="138" t="n">
        <v>2819</v>
      </c>
      <c r="H329" s="138" t="n">
        <v>2221</v>
      </c>
      <c r="I329" s="138" t="n">
        <v>598</v>
      </c>
      <c r="J329" s="139" t="n">
        <v>972.0700000000001</v>
      </c>
      <c r="K329" s="139" t="n">
        <v>965.7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聯茂(6213)</t>
        </is>
      </c>
      <c r="E330" s="138" t="n">
        <v>45</v>
      </c>
      <c r="F330" s="138" t="n">
        <v>34</v>
      </c>
      <c r="G330" s="138" t="n">
        <v>2626</v>
      </c>
      <c r="H330" s="138" t="n">
        <v>1971</v>
      </c>
      <c r="I330" s="138" t="n">
        <v>655</v>
      </c>
      <c r="J330" s="139" t="n">
        <v>583.6</v>
      </c>
      <c r="K330" s="139" t="n">
        <v>579.59</v>
      </c>
      <c r="L330" s="192">
        <f>F330*(K330-J330)</f>
        <v/>
      </c>
    </row>
    <row r="331" ht="16.5" customHeight="1">
      <c r="A331" s="141" t="n"/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A332" s="140" t="n"/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31</v>
      </c>
      <c r="F332" s="138" t="n">
        <v>1</v>
      </c>
      <c r="G332" s="138" t="n">
        <v>6688</v>
      </c>
      <c r="H332" s="138" t="n">
        <v>279</v>
      </c>
      <c r="I332" s="138" t="n">
        <v>6409</v>
      </c>
      <c r="J332" s="139" t="n">
        <v>2157.55</v>
      </c>
      <c r="K332" s="139" t="n">
        <v>2789</v>
      </c>
      <c r="L332" s="191">
        <f>F332*(K332-J332)</f>
        <v/>
      </c>
    </row>
    <row r="333" ht="16.5" customHeight="1">
      <c r="A333" s="140" t="n"/>
      <c r="B333" s="140" t="n"/>
      <c r="C333" s="140" t="n"/>
      <c r="D333" s="137" t="inlineStr">
        <is>
          <t>穩懋(3105)</t>
        </is>
      </c>
      <c r="E333" s="138" t="n">
        <v>72</v>
      </c>
      <c r="F333" s="138" t="n">
        <v>65</v>
      </c>
      <c r="G333" s="138" t="n">
        <v>3161</v>
      </c>
      <c r="H333" s="138" t="n">
        <v>2853</v>
      </c>
      <c r="I333" s="138" t="n">
        <v>308</v>
      </c>
      <c r="J333" s="139" t="n">
        <v>439.08</v>
      </c>
      <c r="K333" s="139" t="n">
        <v>438.95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南亞(1303)</t>
        </is>
      </c>
      <c r="E334" s="138" t="n">
        <v>132</v>
      </c>
      <c r="F334" s="138" t="n">
        <v>84</v>
      </c>
      <c r="G334" s="138" t="n">
        <v>3003</v>
      </c>
      <c r="H334" s="138" t="n">
        <v>1911</v>
      </c>
      <c r="I334" s="138" t="n">
        <v>1092</v>
      </c>
      <c r="J334" s="139" t="n">
        <v>227.48</v>
      </c>
      <c r="K334" s="139" t="n">
        <v>227.46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華邦電(2344)</t>
        </is>
      </c>
      <c r="E335" s="138" t="n">
        <v>143</v>
      </c>
      <c r="F335" s="138" t="n">
        <v>81</v>
      </c>
      <c r="G335" s="138" t="n">
        <v>2648</v>
      </c>
      <c r="H335" s="138" t="n">
        <v>1517</v>
      </c>
      <c r="I335" s="138" t="n">
        <v>1131</v>
      </c>
      <c r="J335" s="139" t="n">
        <v>185.18</v>
      </c>
      <c r="K335" s="139" t="n">
        <v>187.28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台虹(8039)</t>
        </is>
      </c>
      <c r="E336" s="138" t="n">
        <v>65</v>
      </c>
      <c r="F336" s="138" t="n">
        <v>52</v>
      </c>
      <c r="G336" s="138" t="n">
        <v>2239</v>
      </c>
      <c r="H336" s="138" t="n">
        <v>1802</v>
      </c>
      <c r="I336" s="138" t="n">
        <v>437</v>
      </c>
      <c r="J336" s="139" t="n">
        <v>344.46</v>
      </c>
      <c r="K336" s="139" t="n">
        <v>346.44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臻鼎-KY(4958)</t>
        </is>
      </c>
      <c r="E337" s="138" t="n">
        <v>45</v>
      </c>
      <c r="F337" s="138" t="n">
        <v>22</v>
      </c>
      <c r="G337" s="138" t="n">
        <v>2164</v>
      </c>
      <c r="H337" s="138" t="n">
        <v>1077</v>
      </c>
      <c r="I337" s="138" t="n">
        <v>1087</v>
      </c>
      <c r="J337" s="139" t="n">
        <v>480.91</v>
      </c>
      <c r="K337" s="139" t="n">
        <v>489.5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景碩(3189)</t>
        </is>
      </c>
      <c r="E338" s="138" t="n">
        <v>21</v>
      </c>
      <c r="F338" s="138" t="n">
        <v>13</v>
      </c>
      <c r="G338" s="138" t="n">
        <v>1913</v>
      </c>
      <c r="H338" s="138" t="n">
        <v>1204</v>
      </c>
      <c r="I338" s="138" t="n">
        <v>709</v>
      </c>
      <c r="J338" s="139" t="n">
        <v>910.9</v>
      </c>
      <c r="K338" s="139" t="n">
        <v>925.85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晶技(3042)</t>
        </is>
      </c>
      <c r="E339" s="138" t="n">
        <v>74</v>
      </c>
      <c r="F339" s="138" t="n">
        <v>47</v>
      </c>
      <c r="G339" s="138" t="n">
        <v>1403</v>
      </c>
      <c r="H339" s="138" t="n">
        <v>887</v>
      </c>
      <c r="I339" s="138" t="n">
        <v>516</v>
      </c>
      <c r="J339" s="139" t="n">
        <v>189.62</v>
      </c>
      <c r="K339" s="139" t="n">
        <v>188.68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南電(8046)</t>
        </is>
      </c>
      <c r="E340" s="138" t="n">
        <v>11</v>
      </c>
      <c r="F340" s="138" t="n">
        <v>3</v>
      </c>
      <c r="G340" s="138" t="n">
        <v>1381</v>
      </c>
      <c r="H340" s="138" t="n">
        <v>407</v>
      </c>
      <c r="I340" s="138" t="n">
        <v>974</v>
      </c>
      <c r="J340" s="139" t="n">
        <v>1255.36</v>
      </c>
      <c r="K340" s="139" t="n">
        <v>1358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台勝科(3532)</t>
        </is>
      </c>
      <c r="E341" s="138" t="n">
        <v>29</v>
      </c>
      <c r="F341" s="138" t="n">
        <v>17</v>
      </c>
      <c r="G341" s="138" t="n">
        <v>1167</v>
      </c>
      <c r="H341" s="138" t="n">
        <v>688</v>
      </c>
      <c r="I341" s="138" t="n">
        <v>479</v>
      </c>
      <c r="J341" s="139" t="n">
        <v>402.28</v>
      </c>
      <c r="K341" s="139" t="n">
        <v>404.59</v>
      </c>
      <c r="L341" s="191">
        <f>F341*(K341-J341)</f>
        <v/>
      </c>
    </row>
    <row r="342" ht="16.5" customHeight="1">
      <c r="A342" s="141" t="n"/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A343" s="140" t="n"/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南亞科(2408)</t>
        </is>
      </c>
      <c r="E343" s="138" t="n">
        <v>266</v>
      </c>
      <c r="F343" s="138" t="n">
        <v>119</v>
      </c>
      <c r="G343" s="138" t="n">
        <v>14480</v>
      </c>
      <c r="H343" s="138" t="n">
        <v>6524</v>
      </c>
      <c r="I343" s="138" t="n">
        <v>7956</v>
      </c>
      <c r="J343" s="139" t="n">
        <v>544.35</v>
      </c>
      <c r="K343" s="139" t="n">
        <v>548.22</v>
      </c>
      <c r="L343" s="191">
        <f>F343*(K343-J343)</f>
        <v/>
      </c>
    </row>
    <row r="344" ht="16.5" customHeight="1">
      <c r="A344" s="140" t="n"/>
      <c r="B344" s="140" t="n"/>
      <c r="C344" s="140" t="n"/>
      <c r="D344" s="137" t="inlineStr">
        <is>
          <t>台積電(2330)</t>
        </is>
      </c>
      <c r="E344" s="138" t="n">
        <v>40</v>
      </c>
      <c r="F344" s="138" t="n">
        <v>26</v>
      </c>
      <c r="G344" s="138" t="n">
        <v>9627</v>
      </c>
      <c r="H344" s="138" t="n">
        <v>6237</v>
      </c>
      <c r="I344" s="138" t="n">
        <v>3390</v>
      </c>
      <c r="J344" s="139" t="n">
        <v>2406.7</v>
      </c>
      <c r="K344" s="139" t="n">
        <v>2398.81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華邦電(2344)</t>
        </is>
      </c>
      <c r="E345" s="138" t="n">
        <v>333</v>
      </c>
      <c r="F345" s="138" t="n">
        <v>243</v>
      </c>
      <c r="G345" s="138" t="n">
        <v>6140</v>
      </c>
      <c r="H345" s="138" t="n">
        <v>4466</v>
      </c>
      <c r="I345" s="138" t="n">
        <v>1674</v>
      </c>
      <c r="J345" s="139" t="n">
        <v>184.39</v>
      </c>
      <c r="K345" s="139" t="n">
        <v>183.79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緯創(3231)</t>
        </is>
      </c>
      <c r="E346" s="138" t="n">
        <v>213</v>
      </c>
      <c r="F346" s="138" t="n">
        <v>41</v>
      </c>
      <c r="G346" s="138" t="n">
        <v>3853</v>
      </c>
      <c r="H346" s="138" t="n">
        <v>740</v>
      </c>
      <c r="I346" s="138" t="n">
        <v>3113</v>
      </c>
      <c r="J346" s="139" t="n">
        <v>180.89</v>
      </c>
      <c r="K346" s="139" t="n">
        <v>180.59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21</v>
      </c>
      <c r="F347" s="138" t="n">
        <v>17</v>
      </c>
      <c r="G347" s="138" t="n">
        <v>2583</v>
      </c>
      <c r="H347" s="138" t="n">
        <v>2066</v>
      </c>
      <c r="I347" s="138" t="n">
        <v>517</v>
      </c>
      <c r="J347" s="139" t="n">
        <v>1229.9</v>
      </c>
      <c r="K347" s="139" t="n">
        <v>1215.18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創意(3443)</t>
        </is>
      </c>
      <c r="E348" s="138" t="n">
        <v>4</v>
      </c>
      <c r="F348" s="138" t="n">
        <v>3</v>
      </c>
      <c r="G348" s="138" t="n">
        <v>2454</v>
      </c>
      <c r="H348" s="138" t="n">
        <v>1935</v>
      </c>
      <c r="I348" s="138" t="n">
        <v>519</v>
      </c>
      <c r="J348" s="139" t="n">
        <v>6135</v>
      </c>
      <c r="K348" s="139" t="n">
        <v>6450.67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景碩(3189)</t>
        </is>
      </c>
      <c r="E349" s="138" t="n">
        <v>24</v>
      </c>
      <c r="F349" s="138" t="n">
        <v>18</v>
      </c>
      <c r="G349" s="138" t="n">
        <v>2170</v>
      </c>
      <c r="H349" s="138" t="n">
        <v>1649</v>
      </c>
      <c r="I349" s="138" t="n">
        <v>521</v>
      </c>
      <c r="J349" s="139" t="n">
        <v>903.96</v>
      </c>
      <c r="K349" s="139" t="n">
        <v>916.0599999999999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華通(2313)</t>
        </is>
      </c>
      <c r="E350" s="138" t="n">
        <v>73</v>
      </c>
      <c r="F350" s="138" t="n">
        <v>34</v>
      </c>
      <c r="G350" s="138" t="n">
        <v>1806</v>
      </c>
      <c r="H350" s="138" t="n">
        <v>832</v>
      </c>
      <c r="I350" s="138" t="n">
        <v>974</v>
      </c>
      <c r="J350" s="139" t="n">
        <v>247.45</v>
      </c>
      <c r="K350" s="139" t="n">
        <v>244.68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聯亞(3081)</t>
        </is>
      </c>
      <c r="E351" s="138" t="n">
        <v>5</v>
      </c>
      <c r="F351" s="138" t="n">
        <v>2</v>
      </c>
      <c r="G351" s="138" t="n">
        <v>1609</v>
      </c>
      <c r="H351" s="138" t="n">
        <v>744</v>
      </c>
      <c r="I351" s="138" t="n">
        <v>865</v>
      </c>
      <c r="J351" s="139" t="n">
        <v>3218.6</v>
      </c>
      <c r="K351" s="139" t="n">
        <v>3720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穩懋(3105)</t>
        </is>
      </c>
      <c r="E352" s="138" t="n">
        <v>30</v>
      </c>
      <c r="F352" s="138" t="n">
        <v>19</v>
      </c>
      <c r="G352" s="138" t="n">
        <v>1319</v>
      </c>
      <c r="H352" s="138" t="n">
        <v>822</v>
      </c>
      <c r="I352" s="138" t="n">
        <v>497</v>
      </c>
      <c r="J352" s="139" t="n">
        <v>439.6</v>
      </c>
      <c r="K352" s="139" t="n">
        <v>432.89</v>
      </c>
      <c r="L352" s="192">
        <f>F352*(K352-J352)</f>
        <v/>
      </c>
    </row>
    <row r="353" ht="16.5" customHeight="1">
      <c r="A353" s="141" t="n"/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A354" s="140" t="n"/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群創(3481)</t>
        </is>
      </c>
      <c r="E354" s="138" t="n">
        <v>507</v>
      </c>
      <c r="F354" s="138" t="n">
        <v>370</v>
      </c>
      <c r="G354" s="138" t="n">
        <v>2436</v>
      </c>
      <c r="H354" s="138" t="n">
        <v>1783</v>
      </c>
      <c r="I354" s="138" t="n">
        <v>653</v>
      </c>
      <c r="J354" s="139" t="n">
        <v>48.04</v>
      </c>
      <c r="K354" s="139" t="n">
        <v>48.19</v>
      </c>
      <c r="L354" s="191">
        <f>F354*(K354-J354)</f>
        <v/>
      </c>
    </row>
    <row r="355" ht="16.5" customHeight="1">
      <c r="A355" s="140" t="n"/>
      <c r="B355" s="140" t="n"/>
      <c r="C355" s="140" t="n"/>
      <c r="D355" s="137" t="inlineStr">
        <is>
          <t>亞電(4939)</t>
        </is>
      </c>
      <c r="E355" s="138" t="n">
        <v>272</v>
      </c>
      <c r="F355" s="138" t="n">
        <v>59</v>
      </c>
      <c r="G355" s="138" t="n">
        <v>2423</v>
      </c>
      <c r="H355" s="138" t="n">
        <v>533</v>
      </c>
      <c r="I355" s="138" t="n">
        <v>1890</v>
      </c>
      <c r="J355" s="139" t="n">
        <v>89.09</v>
      </c>
      <c r="K355" s="139" t="n">
        <v>90.31999999999999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南亞(1303)</t>
        </is>
      </c>
      <c r="E356" s="138" t="n">
        <v>86</v>
      </c>
      <c r="F356" s="138" t="n">
        <v>63</v>
      </c>
      <c r="G356" s="138" t="n">
        <v>1946</v>
      </c>
      <c r="H356" s="138" t="n">
        <v>1421</v>
      </c>
      <c r="I356" s="138" t="n">
        <v>525</v>
      </c>
      <c r="J356" s="139" t="n">
        <v>226.34</v>
      </c>
      <c r="K356" s="139" t="n">
        <v>225.56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矽力*-KY(6415)</t>
        </is>
      </c>
      <c r="E357" s="138" t="n">
        <v>40</v>
      </c>
      <c r="F357" s="138" t="n">
        <v>0</v>
      </c>
      <c r="G357" s="138" t="n">
        <v>1829</v>
      </c>
      <c r="H357" s="138" t="n">
        <v>0</v>
      </c>
      <c r="I357" s="138" t="n">
        <v>1829</v>
      </c>
      <c r="J357" s="139" t="n">
        <v>457.15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景碩(3189)</t>
        </is>
      </c>
      <c r="E358" s="138" t="n">
        <v>17</v>
      </c>
      <c r="F358" s="138" t="n">
        <v>8</v>
      </c>
      <c r="G358" s="138" t="n">
        <v>1506</v>
      </c>
      <c r="H358" s="138" t="n">
        <v>704</v>
      </c>
      <c r="I358" s="138" t="n">
        <v>802</v>
      </c>
      <c r="J358" s="139" t="n">
        <v>885.88</v>
      </c>
      <c r="K358" s="139" t="n">
        <v>879.88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穩懋(3105)</t>
        </is>
      </c>
      <c r="E359" s="138" t="n">
        <v>26</v>
      </c>
      <c r="F359" s="138" t="n">
        <v>20</v>
      </c>
      <c r="G359" s="138" t="n">
        <v>1142</v>
      </c>
      <c r="H359" s="138" t="n">
        <v>877</v>
      </c>
      <c r="I359" s="138" t="n">
        <v>265</v>
      </c>
      <c r="J359" s="139" t="n">
        <v>439.42</v>
      </c>
      <c r="K359" s="139" t="n">
        <v>438.4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華邦電(2344)</t>
        </is>
      </c>
      <c r="E360" s="138" t="n">
        <v>60</v>
      </c>
      <c r="F360" s="138" t="n">
        <v>27</v>
      </c>
      <c r="G360" s="138" t="n">
        <v>1112</v>
      </c>
      <c r="H360" s="138" t="n">
        <v>509</v>
      </c>
      <c r="I360" s="138" t="n">
        <v>603</v>
      </c>
      <c r="J360" s="139" t="n">
        <v>185.25</v>
      </c>
      <c r="K360" s="139" t="n">
        <v>188.37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力積電(6770)</t>
        </is>
      </c>
      <c r="E361" s="138" t="n">
        <v>125</v>
      </c>
      <c r="F361" s="138" t="n">
        <v>103</v>
      </c>
      <c r="G361" s="138" t="n">
        <v>887</v>
      </c>
      <c r="H361" s="138" t="n">
        <v>726</v>
      </c>
      <c r="I361" s="138" t="n">
        <v>161</v>
      </c>
      <c r="J361" s="139" t="n">
        <v>70.95</v>
      </c>
      <c r="K361" s="139" t="n">
        <v>70.5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萬潤(6187)</t>
        </is>
      </c>
      <c r="E362" s="138" t="n">
        <v>6</v>
      </c>
      <c r="F362" s="138" t="n">
        <v>4</v>
      </c>
      <c r="G362" s="138" t="n">
        <v>865</v>
      </c>
      <c r="H362" s="138" t="n">
        <v>548</v>
      </c>
      <c r="I362" s="138" t="n">
        <v>317</v>
      </c>
      <c r="J362" s="139" t="n">
        <v>1441</v>
      </c>
      <c r="K362" s="139" t="n">
        <v>1370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大立光(3008)</t>
        </is>
      </c>
      <c r="E363" s="138" t="n">
        <v>1</v>
      </c>
      <c r="F363" s="138" t="n">
        <v>1</v>
      </c>
      <c r="G363" s="138" t="n">
        <v>860</v>
      </c>
      <c r="H363" s="138" t="n">
        <v>409</v>
      </c>
      <c r="I363" s="138" t="n">
        <v>451</v>
      </c>
      <c r="J363" s="139" t="n">
        <v>8596</v>
      </c>
      <c r="K363" s="139" t="n">
        <v>4088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南亞科(2408)</t>
        </is>
      </c>
      <c r="E365" s="145" t="n">
        <v>162</v>
      </c>
      <c r="F365" s="145" t="n">
        <v>148</v>
      </c>
      <c r="G365" s="145" t="n">
        <v>8771</v>
      </c>
      <c r="H365" s="145" t="n">
        <v>8012</v>
      </c>
      <c r="I365" s="145" t="n">
        <v>759</v>
      </c>
      <c r="J365" s="146" t="n">
        <v>541.4299999999999</v>
      </c>
      <c r="K365" s="146" t="n">
        <v>541.34</v>
      </c>
      <c r="L365" s="192">
        <f>F365*(K365-J365)</f>
        <v/>
      </c>
    </row>
    <row r="366" ht="16.5" customHeight="1">
      <c r="A366" s="147" t="n"/>
      <c r="B366" s="147" t="n"/>
      <c r="C366" s="147" t="n"/>
      <c r="D366" s="144" t="inlineStr">
        <is>
          <t>華通(2313)</t>
        </is>
      </c>
      <c r="E366" s="145" t="n">
        <v>207</v>
      </c>
      <c r="F366" s="145" t="n">
        <v>56</v>
      </c>
      <c r="G366" s="145" t="n">
        <v>5226</v>
      </c>
      <c r="H366" s="145" t="n">
        <v>1390</v>
      </c>
      <c r="I366" s="145" t="n">
        <v>3836</v>
      </c>
      <c r="J366" s="146" t="n">
        <v>252.46</v>
      </c>
      <c r="K366" s="146" t="n">
        <v>248.18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聯電(2303)</t>
        </is>
      </c>
      <c r="E367" s="145" t="n">
        <v>366</v>
      </c>
      <c r="F367" s="145" t="n">
        <v>302</v>
      </c>
      <c r="G367" s="145" t="n">
        <v>4688</v>
      </c>
      <c r="H367" s="145" t="n">
        <v>3869</v>
      </c>
      <c r="I367" s="145" t="n">
        <v>819</v>
      </c>
      <c r="J367" s="146" t="n">
        <v>128.08</v>
      </c>
      <c r="K367" s="146" t="n">
        <v>128.1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昇達科(3491)</t>
        </is>
      </c>
      <c r="E368" s="145" t="n">
        <v>27</v>
      </c>
      <c r="F368" s="145" t="n">
        <v>17</v>
      </c>
      <c r="G368" s="145" t="n">
        <v>4029</v>
      </c>
      <c r="H368" s="145" t="n">
        <v>2546</v>
      </c>
      <c r="I368" s="145" t="n">
        <v>1483</v>
      </c>
      <c r="J368" s="146" t="n">
        <v>1492.15</v>
      </c>
      <c r="K368" s="146" t="n">
        <v>1497.65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雙鴻(3324)</t>
        </is>
      </c>
      <c r="E369" s="145" t="n">
        <v>35</v>
      </c>
      <c r="F369" s="145" t="n">
        <v>21</v>
      </c>
      <c r="G369" s="145" t="n">
        <v>4010</v>
      </c>
      <c r="H369" s="145" t="n">
        <v>2431</v>
      </c>
      <c r="I369" s="145" t="n">
        <v>1579</v>
      </c>
      <c r="J369" s="146" t="n">
        <v>1145.74</v>
      </c>
      <c r="K369" s="146" t="n">
        <v>1157.57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欣興(3037)</t>
        </is>
      </c>
      <c r="E370" s="145" t="n">
        <v>33</v>
      </c>
      <c r="F370" s="145" t="n">
        <v>11</v>
      </c>
      <c r="G370" s="145" t="n">
        <v>3890</v>
      </c>
      <c r="H370" s="145" t="n">
        <v>1204</v>
      </c>
      <c r="I370" s="145" t="n">
        <v>2686</v>
      </c>
      <c r="J370" s="146" t="n">
        <v>1178.67</v>
      </c>
      <c r="K370" s="146" t="n">
        <v>1095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聯茂(6213)</t>
        </is>
      </c>
      <c r="E371" s="145" t="n">
        <v>51</v>
      </c>
      <c r="F371" s="145" t="n">
        <v>39</v>
      </c>
      <c r="G371" s="145" t="n">
        <v>2951</v>
      </c>
      <c r="H371" s="145" t="n">
        <v>2293</v>
      </c>
      <c r="I371" s="145" t="n">
        <v>658</v>
      </c>
      <c r="J371" s="146" t="n">
        <v>578.65</v>
      </c>
      <c r="K371" s="146" t="n">
        <v>587.95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玉晶光(3406)</t>
        </is>
      </c>
      <c r="E372" s="145" t="n">
        <v>32</v>
      </c>
      <c r="F372" s="145" t="n">
        <v>23</v>
      </c>
      <c r="G372" s="145" t="n">
        <v>2920</v>
      </c>
      <c r="H372" s="145" t="n">
        <v>2132</v>
      </c>
      <c r="I372" s="145" t="n">
        <v>788</v>
      </c>
      <c r="J372" s="146" t="n">
        <v>912.4400000000001</v>
      </c>
      <c r="K372" s="146" t="n">
        <v>926.78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穎崴(6515)</t>
        </is>
      </c>
      <c r="E373" s="145" t="n">
        <v>4</v>
      </c>
      <c r="F373" s="145" t="n">
        <v>1</v>
      </c>
      <c r="G373" s="145" t="n">
        <v>2799</v>
      </c>
      <c r="H373" s="145" t="n">
        <v>627</v>
      </c>
      <c r="I373" s="145" t="n">
        <v>2172</v>
      </c>
      <c r="J373" s="146" t="n">
        <v>6996.75</v>
      </c>
      <c r="K373" s="146" t="n">
        <v>6268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日月光投控(3711)</t>
        </is>
      </c>
      <c r="E374" s="145" t="n">
        <v>39</v>
      </c>
      <c r="F374" s="145" t="n">
        <v>20</v>
      </c>
      <c r="G374" s="145" t="n">
        <v>2420</v>
      </c>
      <c r="H374" s="145" t="n">
        <v>1246</v>
      </c>
      <c r="I374" s="145" t="n">
        <v>1174</v>
      </c>
      <c r="J374" s="146" t="n">
        <v>620.46</v>
      </c>
      <c r="K374" s="146" t="n">
        <v>622.75</v>
      </c>
      <c r="L374" s="191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南亞科(2408)</t>
        </is>
      </c>
      <c r="E376" s="151" t="n">
        <v>132</v>
      </c>
      <c r="F376" s="151" t="n">
        <v>23</v>
      </c>
      <c r="G376" s="151" t="n">
        <v>7308</v>
      </c>
      <c r="H376" s="151" t="n">
        <v>1283</v>
      </c>
      <c r="I376" s="151" t="n">
        <v>6025</v>
      </c>
      <c r="J376" s="152" t="n">
        <v>553.61</v>
      </c>
      <c r="K376" s="152" t="n">
        <v>557.78</v>
      </c>
      <c r="L376" s="191">
        <f>F376*(K376-J376)</f>
        <v/>
      </c>
    </row>
    <row r="377" ht="16.5" customHeight="1">
      <c r="A377" s="153" t="n"/>
      <c r="B377" s="153" t="n"/>
      <c r="C377" s="153" t="n"/>
      <c r="D377" s="150" t="inlineStr">
        <is>
          <t>大立光(3008)</t>
        </is>
      </c>
      <c r="E377" s="151" t="n">
        <v>9</v>
      </c>
      <c r="F377" s="151" t="n">
        <v>1</v>
      </c>
      <c r="G377" s="151" t="n">
        <v>6537</v>
      </c>
      <c r="H377" s="151" t="n">
        <v>438</v>
      </c>
      <c r="I377" s="151" t="n">
        <v>6099</v>
      </c>
      <c r="J377" s="152" t="n">
        <v>7263</v>
      </c>
      <c r="K377" s="152" t="n">
        <v>4382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南亞(1303)</t>
        </is>
      </c>
      <c r="E378" s="151" t="n">
        <v>255</v>
      </c>
      <c r="F378" s="151" t="n">
        <v>240</v>
      </c>
      <c r="G378" s="151" t="n">
        <v>5619</v>
      </c>
      <c r="H378" s="151" t="n">
        <v>5295</v>
      </c>
      <c r="I378" s="151" t="n">
        <v>324</v>
      </c>
      <c r="J378" s="152" t="n">
        <v>220.36</v>
      </c>
      <c r="K378" s="152" t="n">
        <v>220.63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57</v>
      </c>
      <c r="F379" s="151" t="n">
        <v>3</v>
      </c>
      <c r="G379" s="151" t="n">
        <v>5095</v>
      </c>
      <c r="H379" s="151" t="n">
        <v>277</v>
      </c>
      <c r="I379" s="151" t="n">
        <v>4818</v>
      </c>
      <c r="J379" s="152" t="n">
        <v>893.91</v>
      </c>
      <c r="K379" s="152" t="n">
        <v>922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高技(5439)</t>
        </is>
      </c>
      <c r="E380" s="151" t="n">
        <v>136</v>
      </c>
      <c r="F380" s="151" t="n">
        <v>36</v>
      </c>
      <c r="G380" s="151" t="n">
        <v>3631</v>
      </c>
      <c r="H380" s="151" t="n">
        <v>947</v>
      </c>
      <c r="I380" s="151" t="n">
        <v>2684</v>
      </c>
      <c r="J380" s="152" t="n">
        <v>266.96</v>
      </c>
      <c r="K380" s="152" t="n">
        <v>263.14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新盛力(4931)</t>
        </is>
      </c>
      <c r="E381" s="151" t="n">
        <v>132</v>
      </c>
      <c r="F381" s="151" t="n">
        <v>15</v>
      </c>
      <c r="G381" s="151" t="n">
        <v>3611</v>
      </c>
      <c r="H381" s="151" t="n">
        <v>407</v>
      </c>
      <c r="I381" s="151" t="n">
        <v>3204</v>
      </c>
      <c r="J381" s="152" t="n">
        <v>273.57</v>
      </c>
      <c r="K381" s="152" t="n">
        <v>271.27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富世達(6805)</t>
        </is>
      </c>
      <c r="E382" s="151" t="n">
        <v>15</v>
      </c>
      <c r="F382" s="151" t="n">
        <v>2</v>
      </c>
      <c r="G382" s="151" t="n">
        <v>3588</v>
      </c>
      <c r="H382" s="151" t="n">
        <v>509</v>
      </c>
      <c r="I382" s="151" t="n">
        <v>3079</v>
      </c>
      <c r="J382" s="152" t="n">
        <v>2392.27</v>
      </c>
      <c r="K382" s="152" t="n">
        <v>2546.5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穩懋(3105)</t>
        </is>
      </c>
      <c r="E383" s="151" t="n">
        <v>76</v>
      </c>
      <c r="F383" s="151" t="n">
        <v>3</v>
      </c>
      <c r="G383" s="151" t="n">
        <v>3407</v>
      </c>
      <c r="H383" s="151" t="n">
        <v>142</v>
      </c>
      <c r="I383" s="151" t="n">
        <v>3265</v>
      </c>
      <c r="J383" s="152" t="n">
        <v>448.28</v>
      </c>
      <c r="K383" s="152" t="n">
        <v>472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聯茂(6213)</t>
        </is>
      </c>
      <c r="E384" s="151" t="n">
        <v>51</v>
      </c>
      <c r="F384" s="151" t="n">
        <v>4</v>
      </c>
      <c r="G384" s="151" t="n">
        <v>2961</v>
      </c>
      <c r="H384" s="151" t="n">
        <v>231</v>
      </c>
      <c r="I384" s="151" t="n">
        <v>2730</v>
      </c>
      <c r="J384" s="152" t="n">
        <v>580.51</v>
      </c>
      <c r="K384" s="152" t="n">
        <v>578.25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宏致(3605)</t>
        </is>
      </c>
      <c r="E385" s="151" t="n">
        <v>214</v>
      </c>
      <c r="F385" s="151" t="n">
        <v>27</v>
      </c>
      <c r="G385" s="151" t="n">
        <v>2683</v>
      </c>
      <c r="H385" s="151" t="n">
        <v>340</v>
      </c>
      <c r="I385" s="151" t="n">
        <v>2343</v>
      </c>
      <c r="J385" s="152" t="n">
        <v>125.38</v>
      </c>
      <c r="K385" s="152" t="n">
        <v>125.96</v>
      </c>
      <c r="L385" s="191">
        <f>F385*(K385-J385)</f>
        <v/>
      </c>
    </row>
    <row r="386" ht="16.5" customHeight="1">
      <c r="A386" s="154" t="n"/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A387" s="153" t="n"/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禾伸堂(3026)</t>
        </is>
      </c>
      <c r="E387" s="151" t="n">
        <v>954</v>
      </c>
      <c r="F387" s="151" t="n">
        <v>39</v>
      </c>
      <c r="G387" s="151" t="n">
        <v>70692</v>
      </c>
      <c r="H387" s="151" t="n">
        <v>2854</v>
      </c>
      <c r="I387" s="151" t="n">
        <v>67838</v>
      </c>
      <c r="J387" s="152" t="n">
        <v>741.01</v>
      </c>
      <c r="K387" s="152" t="n">
        <v>731.72</v>
      </c>
      <c r="L387" s="192">
        <f>F387*(K387-J387)</f>
        <v/>
      </c>
    </row>
    <row r="388" ht="16.5" customHeight="1">
      <c r="A388" s="153" t="n"/>
      <c r="B388" s="153" t="n"/>
      <c r="C388" s="153" t="n"/>
      <c r="D388" s="150" t="inlineStr">
        <is>
          <t>緯穎(6669)</t>
        </is>
      </c>
      <c r="E388" s="151" t="n">
        <v>21</v>
      </c>
      <c r="F388" s="151" t="n">
        <v>13</v>
      </c>
      <c r="G388" s="151" t="n">
        <v>14942</v>
      </c>
      <c r="H388" s="151" t="n">
        <v>9375</v>
      </c>
      <c r="I388" s="151" t="n">
        <v>5567</v>
      </c>
      <c r="J388" s="152" t="n">
        <v>7115</v>
      </c>
      <c r="K388" s="152" t="n">
        <v>7211.54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25</v>
      </c>
      <c r="F389" s="151" t="n">
        <v>12</v>
      </c>
      <c r="G389" s="151" t="n">
        <v>9886</v>
      </c>
      <c r="H389" s="151" t="n">
        <v>4966</v>
      </c>
      <c r="I389" s="151" t="n">
        <v>4920</v>
      </c>
      <c r="J389" s="152" t="n">
        <v>3954.24</v>
      </c>
      <c r="K389" s="152" t="n">
        <v>4138.17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台達電(2308)</t>
        </is>
      </c>
      <c r="E390" s="151" t="n">
        <v>51</v>
      </c>
      <c r="F390" s="151" t="n">
        <v>29</v>
      </c>
      <c r="G390" s="151" t="n">
        <v>9153</v>
      </c>
      <c r="H390" s="151" t="n">
        <v>5197</v>
      </c>
      <c r="I390" s="151" t="n">
        <v>3956</v>
      </c>
      <c r="J390" s="152" t="n">
        <v>1794.69</v>
      </c>
      <c r="K390" s="152" t="n">
        <v>1792.1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欣興(3037)</t>
        </is>
      </c>
      <c r="E391" s="151" t="n">
        <v>41</v>
      </c>
      <c r="F391" s="151" t="n">
        <v>31</v>
      </c>
      <c r="G391" s="151" t="n">
        <v>4600</v>
      </c>
      <c r="H391" s="151" t="n">
        <v>3462</v>
      </c>
      <c r="I391" s="151" t="n">
        <v>1138</v>
      </c>
      <c r="J391" s="152" t="n">
        <v>1121.83</v>
      </c>
      <c r="K391" s="152" t="n">
        <v>1116.68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群創(3481)</t>
        </is>
      </c>
      <c r="E392" s="151" t="n">
        <v>831</v>
      </c>
      <c r="F392" s="151" t="n">
        <v>795</v>
      </c>
      <c r="G392" s="151" t="n">
        <v>4039</v>
      </c>
      <c r="H392" s="151" t="n">
        <v>3864</v>
      </c>
      <c r="I392" s="151" t="n">
        <v>175</v>
      </c>
      <c r="J392" s="152" t="n">
        <v>48.6</v>
      </c>
      <c r="K392" s="152" t="n">
        <v>48.6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華邦電(2344)</t>
        </is>
      </c>
      <c r="E393" s="151" t="n">
        <v>193</v>
      </c>
      <c r="F393" s="151" t="n">
        <v>114</v>
      </c>
      <c r="G393" s="151" t="n">
        <v>3588</v>
      </c>
      <c r="H393" s="151" t="n">
        <v>2093</v>
      </c>
      <c r="I393" s="151" t="n">
        <v>1495</v>
      </c>
      <c r="J393" s="152" t="n">
        <v>185.89</v>
      </c>
      <c r="K393" s="152" t="n">
        <v>183.57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尖點(8021)</t>
        </is>
      </c>
      <c r="E394" s="151" t="n">
        <v>72</v>
      </c>
      <c r="F394" s="151" t="n">
        <v>60</v>
      </c>
      <c r="G394" s="151" t="n">
        <v>3249</v>
      </c>
      <c r="H394" s="151" t="n">
        <v>2746</v>
      </c>
      <c r="I394" s="151" t="n">
        <v>503</v>
      </c>
      <c r="J394" s="152" t="n">
        <v>451.31</v>
      </c>
      <c r="K394" s="152" t="n">
        <v>457.62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29</v>
      </c>
      <c r="F395" s="151" t="n">
        <v>23</v>
      </c>
      <c r="G395" s="151" t="n">
        <v>2819</v>
      </c>
      <c r="H395" s="151" t="n">
        <v>2221</v>
      </c>
      <c r="I395" s="151" t="n">
        <v>598</v>
      </c>
      <c r="J395" s="152" t="n">
        <v>972.0700000000001</v>
      </c>
      <c r="K395" s="152" t="n">
        <v>965.7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聯茂(6213)</t>
        </is>
      </c>
      <c r="E396" s="151" t="n">
        <v>45</v>
      </c>
      <c r="F396" s="151" t="n">
        <v>34</v>
      </c>
      <c r="G396" s="151" t="n">
        <v>2626</v>
      </c>
      <c r="H396" s="151" t="n">
        <v>1971</v>
      </c>
      <c r="I396" s="151" t="n">
        <v>655</v>
      </c>
      <c r="J396" s="152" t="n">
        <v>583.6</v>
      </c>
      <c r="K396" s="152" t="n">
        <v>579.59</v>
      </c>
      <c r="L396" s="192">
        <f>F396*(K396-J396)</f>
        <v/>
      </c>
    </row>
    <row r="397" ht="16.5" customHeight="1">
      <c r="A397" s="154" t="n"/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A398" s="153" t="n"/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南亞(1303)</t>
        </is>
      </c>
      <c r="E398" s="151" t="n">
        <v>108</v>
      </c>
      <c r="F398" s="151" t="n">
        <v>90</v>
      </c>
      <c r="G398" s="151" t="n">
        <v>2392</v>
      </c>
      <c r="H398" s="151" t="n">
        <v>1975</v>
      </c>
      <c r="I398" s="151" t="n">
        <v>417</v>
      </c>
      <c r="J398" s="152" t="n">
        <v>221.51</v>
      </c>
      <c r="K398" s="152" t="n">
        <v>219.46</v>
      </c>
      <c r="L398" s="192">
        <f>F398*(K398-J398)</f>
        <v/>
      </c>
    </row>
    <row r="399" ht="16.5" customHeight="1">
      <c r="A399" s="153" t="n"/>
      <c r="B399" s="153" t="n"/>
      <c r="C399" s="153" t="n"/>
      <c r="D399" s="150" t="inlineStr">
        <is>
          <t>川湖(2059)</t>
        </is>
      </c>
      <c r="E399" s="151" t="n">
        <v>1</v>
      </c>
      <c r="F399" s="151" t="n">
        <v>1</v>
      </c>
      <c r="G399" s="151" t="n">
        <v>1942</v>
      </c>
      <c r="H399" s="151" t="n">
        <v>290</v>
      </c>
      <c r="I399" s="151" t="n">
        <v>1652</v>
      </c>
      <c r="J399" s="152" t="n">
        <v>19418</v>
      </c>
      <c r="K399" s="152" t="n">
        <v>2897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穩懋(3105)</t>
        </is>
      </c>
      <c r="E400" s="151" t="n">
        <v>39</v>
      </c>
      <c r="F400" s="151" t="n">
        <v>34</v>
      </c>
      <c r="G400" s="151" t="n">
        <v>1728</v>
      </c>
      <c r="H400" s="151" t="n">
        <v>1472</v>
      </c>
      <c r="I400" s="151" t="n">
        <v>256</v>
      </c>
      <c r="J400" s="152" t="n">
        <v>442.95</v>
      </c>
      <c r="K400" s="152" t="n">
        <v>433.03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華邦電(2344)</t>
        </is>
      </c>
      <c r="E401" s="151" t="n">
        <v>92</v>
      </c>
      <c r="F401" s="151" t="n">
        <v>44</v>
      </c>
      <c r="G401" s="151" t="n">
        <v>1692</v>
      </c>
      <c r="H401" s="151" t="n">
        <v>822</v>
      </c>
      <c r="I401" s="151" t="n">
        <v>870</v>
      </c>
      <c r="J401" s="152" t="n">
        <v>183.86</v>
      </c>
      <c r="K401" s="152" t="n">
        <v>186.7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台虹(8039)</t>
        </is>
      </c>
      <c r="E402" s="151" t="n">
        <v>40</v>
      </c>
      <c r="F402" s="151" t="n">
        <v>27</v>
      </c>
      <c r="G402" s="151" t="n">
        <v>1366</v>
      </c>
      <c r="H402" s="151" t="n">
        <v>921</v>
      </c>
      <c r="I402" s="151" t="n">
        <v>445</v>
      </c>
      <c r="J402" s="152" t="n">
        <v>341.55</v>
      </c>
      <c r="K402" s="152" t="n">
        <v>341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南電(8046)</t>
        </is>
      </c>
      <c r="E403" s="151" t="n">
        <v>11</v>
      </c>
      <c r="F403" s="151" t="n">
        <v>5</v>
      </c>
      <c r="G403" s="151" t="n">
        <v>1314</v>
      </c>
      <c r="H403" s="151" t="n">
        <v>680</v>
      </c>
      <c r="I403" s="151" t="n">
        <v>634</v>
      </c>
      <c r="J403" s="152" t="n">
        <v>1194.82</v>
      </c>
      <c r="K403" s="152" t="n">
        <v>1360.8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漢翔(2634)</t>
        </is>
      </c>
      <c r="E404" s="151" t="n">
        <v>189</v>
      </c>
      <c r="F404" s="151" t="n">
        <v>30</v>
      </c>
      <c r="G404" s="151" t="n">
        <v>1306</v>
      </c>
      <c r="H404" s="151" t="n">
        <v>212</v>
      </c>
      <c r="I404" s="151" t="n">
        <v>1094</v>
      </c>
      <c r="J404" s="152" t="n">
        <v>69.11</v>
      </c>
      <c r="K404" s="152" t="n">
        <v>70.73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頎邦(6147)</t>
        </is>
      </c>
      <c r="E405" s="151" t="n">
        <v>67</v>
      </c>
      <c r="F405" s="151" t="n">
        <v>34</v>
      </c>
      <c r="G405" s="151" t="n">
        <v>1259</v>
      </c>
      <c r="H405" s="151" t="n">
        <v>658</v>
      </c>
      <c r="I405" s="151" t="n">
        <v>601</v>
      </c>
      <c r="J405" s="152" t="n">
        <v>187.87</v>
      </c>
      <c r="K405" s="152" t="n">
        <v>193.59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64</v>
      </c>
      <c r="F406" s="151" t="n">
        <v>2</v>
      </c>
      <c r="G406" s="151" t="n">
        <v>1239</v>
      </c>
      <c r="H406" s="151" t="n">
        <v>38</v>
      </c>
      <c r="I406" s="151" t="n">
        <v>1201</v>
      </c>
      <c r="J406" s="152" t="n">
        <v>193.64</v>
      </c>
      <c r="K406" s="152" t="n">
        <v>192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景碩(3189)</t>
        </is>
      </c>
      <c r="E407" s="151" t="n">
        <v>10</v>
      </c>
      <c r="F407" s="151" t="n">
        <v>1</v>
      </c>
      <c r="G407" s="151" t="n">
        <v>871</v>
      </c>
      <c r="H407" s="151" t="n">
        <v>117</v>
      </c>
      <c r="I407" s="151" t="n">
        <v>754</v>
      </c>
      <c r="J407" s="152" t="n">
        <v>871</v>
      </c>
      <c r="K407" s="152" t="n">
        <v>1169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華新科(2492)</t>
        </is>
      </c>
      <c r="E409" s="158" t="n">
        <v>3285</v>
      </c>
      <c r="F409" s="158" t="n">
        <v>529</v>
      </c>
      <c r="G409" s="158" t="n">
        <v>102971</v>
      </c>
      <c r="H409" s="158" t="n">
        <v>16555</v>
      </c>
      <c r="I409" s="158" t="n">
        <v>86416</v>
      </c>
      <c r="J409" s="159" t="n">
        <v>313.46</v>
      </c>
      <c r="K409" s="159" t="n">
        <v>312.95</v>
      </c>
      <c r="L409" s="192">
        <f>F409*(K409-J409)</f>
        <v/>
      </c>
    </row>
    <row r="410" ht="16.5" customHeight="1">
      <c r="A410" s="160" t="n"/>
      <c r="B410" s="160" t="n"/>
      <c r="C410" s="160" t="n"/>
      <c r="D410" s="157" t="inlineStr">
        <is>
          <t>聯電(2303)</t>
        </is>
      </c>
      <c r="E410" s="158" t="n">
        <v>3040</v>
      </c>
      <c r="F410" s="158" t="n">
        <v>246</v>
      </c>
      <c r="G410" s="158" t="n">
        <v>39508</v>
      </c>
      <c r="H410" s="158" t="n">
        <v>3166</v>
      </c>
      <c r="I410" s="158" t="n">
        <v>36342</v>
      </c>
      <c r="J410" s="159" t="n">
        <v>129.96</v>
      </c>
      <c r="K410" s="159" t="n">
        <v>128.72</v>
      </c>
      <c r="L410" s="192">
        <f>F410*(K410-J410)</f>
        <v/>
      </c>
    </row>
    <row r="411" ht="16.5" customHeight="1">
      <c r="A411" s="160" t="n"/>
      <c r="B411" s="160" t="n"/>
      <c r="C411" s="160" t="n"/>
      <c r="D411" s="206" t="inlineStr">
        <is>
          <t>宏致(3605)</t>
        </is>
      </c>
      <c r="E411" s="207" t="n">
        <v>1583</v>
      </c>
      <c r="F411" s="207" t="n">
        <v>510</v>
      </c>
      <c r="G411" s="207" t="n">
        <v>20741</v>
      </c>
      <c r="H411" s="207" t="n">
        <v>6674</v>
      </c>
      <c r="I411" s="207" t="n">
        <v>14067</v>
      </c>
      <c r="J411" s="208" t="n">
        <v>131.03</v>
      </c>
      <c r="K411" s="208" t="n">
        <v>130.86</v>
      </c>
      <c r="L411" s="210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禾伸堂(3026)</t>
        </is>
      </c>
      <c r="E412" s="158" t="n">
        <v>55</v>
      </c>
      <c r="F412" s="158" t="n">
        <v>6</v>
      </c>
      <c r="G412" s="158" t="n">
        <v>3992</v>
      </c>
      <c r="H412" s="158" t="n">
        <v>442</v>
      </c>
      <c r="I412" s="158" t="n">
        <v>3550</v>
      </c>
      <c r="J412" s="159" t="n">
        <v>725.8</v>
      </c>
      <c r="K412" s="159" t="n">
        <v>737.17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金像電(2368)</t>
        </is>
      </c>
      <c r="E413" s="158" t="n">
        <v>16</v>
      </c>
      <c r="F413" s="158" t="n">
        <v>6</v>
      </c>
      <c r="G413" s="158" t="n">
        <v>1830</v>
      </c>
      <c r="H413" s="158" t="n">
        <v>655</v>
      </c>
      <c r="I413" s="158" t="n">
        <v>1175</v>
      </c>
      <c r="J413" s="159" t="n">
        <v>1143.44</v>
      </c>
      <c r="K413" s="159" t="n">
        <v>1091.17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信昌電(6173)</t>
        </is>
      </c>
      <c r="E414" s="158" t="n">
        <v>37</v>
      </c>
      <c r="F414" s="158" t="n">
        <v>6</v>
      </c>
      <c r="G414" s="158" t="n">
        <v>861</v>
      </c>
      <c r="H414" s="158" t="n">
        <v>148</v>
      </c>
      <c r="I414" s="158" t="n">
        <v>713</v>
      </c>
      <c r="J414" s="159" t="n">
        <v>232.81</v>
      </c>
      <c r="K414" s="159" t="n">
        <v>247</v>
      </c>
      <c r="L414" s="191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1" t="n"/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A420" s="160" t="n"/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金像電(2368)</t>
        </is>
      </c>
      <c r="E420" s="158" t="n">
        <v>45</v>
      </c>
      <c r="F420" s="158" t="n">
        <v>14</v>
      </c>
      <c r="G420" s="158" t="n">
        <v>5062</v>
      </c>
      <c r="H420" s="158" t="n">
        <v>1573</v>
      </c>
      <c r="I420" s="158" t="n">
        <v>3489</v>
      </c>
      <c r="J420" s="159" t="n">
        <v>1124.98</v>
      </c>
      <c r="K420" s="159" t="n">
        <v>1123.86</v>
      </c>
      <c r="L420" s="192">
        <f>F420*(K420-J420)</f>
        <v/>
      </c>
    </row>
    <row r="421" ht="16.5" customHeight="1">
      <c r="A421" s="160" t="n"/>
      <c r="B421" s="160" t="n"/>
      <c r="C421" s="160" t="n"/>
      <c r="D421" s="157" t="inlineStr">
        <is>
          <t>精材(3374)</t>
        </is>
      </c>
      <c r="E421" s="158" t="n">
        <v>84</v>
      </c>
      <c r="F421" s="158" t="n">
        <v>28</v>
      </c>
      <c r="G421" s="158" t="n">
        <v>3185</v>
      </c>
      <c r="H421" s="158" t="n">
        <v>1044</v>
      </c>
      <c r="I421" s="158" t="n">
        <v>2141</v>
      </c>
      <c r="J421" s="159" t="n">
        <v>379.15</v>
      </c>
      <c r="K421" s="159" t="n">
        <v>372.86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貿聯-KY(3665)</t>
        </is>
      </c>
      <c r="E422" s="158" t="n">
        <v>9</v>
      </c>
      <c r="F422" s="158" t="n">
        <v>6</v>
      </c>
      <c r="G422" s="158" t="n">
        <v>2035</v>
      </c>
      <c r="H422" s="158" t="n">
        <v>1294</v>
      </c>
      <c r="I422" s="158" t="n">
        <v>741</v>
      </c>
      <c r="J422" s="159" t="n">
        <v>2260.67</v>
      </c>
      <c r="K422" s="159" t="n">
        <v>2157.33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南俊國際(6584)</t>
        </is>
      </c>
      <c r="E423" s="158" t="n">
        <v>25</v>
      </c>
      <c r="F423" s="158" t="n">
        <v>2</v>
      </c>
      <c r="G423" s="158" t="n">
        <v>1702</v>
      </c>
      <c r="H423" s="158" t="n">
        <v>108</v>
      </c>
      <c r="I423" s="158" t="n">
        <v>1594</v>
      </c>
      <c r="J423" s="159" t="n">
        <v>681</v>
      </c>
      <c r="K423" s="159" t="n">
        <v>539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信昌電(6173)</t>
        </is>
      </c>
      <c r="E424" s="158" t="n">
        <v>71</v>
      </c>
      <c r="F424" s="158" t="n">
        <v>5</v>
      </c>
      <c r="G424" s="158" t="n">
        <v>1698</v>
      </c>
      <c r="H424" s="158" t="n">
        <v>121</v>
      </c>
      <c r="I424" s="158" t="n">
        <v>1577</v>
      </c>
      <c r="J424" s="159" t="n">
        <v>239.15</v>
      </c>
      <c r="K424" s="159" t="n">
        <v>242</v>
      </c>
      <c r="L424" s="191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宏致(3605)</t>
        </is>
      </c>
      <c r="E425" s="158" t="n">
        <v>50</v>
      </c>
      <c r="F425" s="158" t="n">
        <v>23</v>
      </c>
      <c r="G425" s="158" t="n">
        <v>655</v>
      </c>
      <c r="H425" s="158" t="n">
        <v>301</v>
      </c>
      <c r="I425" s="158" t="n">
        <v>354</v>
      </c>
      <c r="J425" s="159" t="n">
        <v>131</v>
      </c>
      <c r="K425" s="159" t="n">
        <v>131</v>
      </c>
      <c r="L425" s="191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1" t="n"/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A431" s="160" t="n"/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大立(4716)</t>
        </is>
      </c>
      <c r="E431" s="158" t="n">
        <v>31</v>
      </c>
      <c r="F431" s="158" t="n">
        <v>1</v>
      </c>
      <c r="G431" s="158" t="n">
        <v>59</v>
      </c>
      <c r="H431" s="158" t="n">
        <v>2</v>
      </c>
      <c r="I431" s="158" t="n">
        <v>57</v>
      </c>
      <c r="J431" s="159" t="n">
        <v>19.16</v>
      </c>
      <c r="K431" s="159" t="n">
        <v>19</v>
      </c>
      <c r="L431" s="192">
        <f>F431*(K431-J431)</f>
        <v/>
      </c>
    </row>
    <row r="432" ht="16.5" customHeight="1">
      <c r="A432" s="160" t="n"/>
      <c r="B432" s="160" t="n"/>
      <c r="C432" s="160" t="n"/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華邦電(2344)</t>
        </is>
      </c>
      <c r="E442" s="167" t="n">
        <v>771</v>
      </c>
      <c r="F442" s="167" t="n">
        <v>276</v>
      </c>
      <c r="G442" s="167" t="n">
        <v>14371</v>
      </c>
      <c r="H442" s="167" t="n">
        <v>5074</v>
      </c>
      <c r="I442" s="167" t="n">
        <v>9297</v>
      </c>
      <c r="J442" s="168" t="n">
        <v>186.39</v>
      </c>
      <c r="K442" s="168" t="n">
        <v>183.83</v>
      </c>
      <c r="L442" s="192">
        <f>F442*(K442-J442)</f>
        <v/>
      </c>
    </row>
    <row r="443" ht="16.5" customHeight="1">
      <c r="A443" s="169" t="n"/>
      <c r="B443" s="169" t="n"/>
      <c r="C443" s="169" t="n"/>
      <c r="D443" s="166" t="inlineStr">
        <is>
          <t>南亞科(2408)</t>
        </is>
      </c>
      <c r="E443" s="167" t="n">
        <v>162</v>
      </c>
      <c r="F443" s="167" t="n">
        <v>135</v>
      </c>
      <c r="G443" s="167" t="n">
        <v>8748</v>
      </c>
      <c r="H443" s="167" t="n">
        <v>7315</v>
      </c>
      <c r="I443" s="167" t="n">
        <v>1433</v>
      </c>
      <c r="J443" s="168" t="n">
        <v>539.99</v>
      </c>
      <c r="K443" s="168" t="n">
        <v>541.84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金居(8358)</t>
        </is>
      </c>
      <c r="E444" s="167" t="n">
        <v>166</v>
      </c>
      <c r="F444" s="167" t="n">
        <v>59</v>
      </c>
      <c r="G444" s="167" t="n">
        <v>8664</v>
      </c>
      <c r="H444" s="167" t="n">
        <v>3092</v>
      </c>
      <c r="I444" s="167" t="n">
        <v>5572</v>
      </c>
      <c r="J444" s="168" t="n">
        <v>521.92</v>
      </c>
      <c r="K444" s="168" t="n">
        <v>524.1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南亞(1303)</t>
        </is>
      </c>
      <c r="E445" s="167" t="n">
        <v>322</v>
      </c>
      <c r="F445" s="167" t="n">
        <v>217</v>
      </c>
      <c r="G445" s="167" t="n">
        <v>7342</v>
      </c>
      <c r="H445" s="167" t="n">
        <v>4866</v>
      </c>
      <c r="I445" s="167" t="n">
        <v>2476</v>
      </c>
      <c r="J445" s="168" t="n">
        <v>228.01</v>
      </c>
      <c r="K445" s="168" t="n">
        <v>224.25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南電(8046)</t>
        </is>
      </c>
      <c r="E446" s="167" t="n">
        <v>46</v>
      </c>
      <c r="F446" s="167" t="n">
        <v>28</v>
      </c>
      <c r="G446" s="167" t="n">
        <v>5747</v>
      </c>
      <c r="H446" s="167" t="n">
        <v>3414</v>
      </c>
      <c r="I446" s="167" t="n">
        <v>2333</v>
      </c>
      <c r="J446" s="168" t="n">
        <v>1249.37</v>
      </c>
      <c r="K446" s="168" t="n">
        <v>1219.14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台半(5425)</t>
        </is>
      </c>
      <c r="E447" s="167" t="n">
        <v>520</v>
      </c>
      <c r="F447" s="167" t="n">
        <v>107</v>
      </c>
      <c r="G447" s="167" t="n">
        <v>5168</v>
      </c>
      <c r="H447" s="167" t="n">
        <v>1061</v>
      </c>
      <c r="I447" s="167" t="n">
        <v>4107</v>
      </c>
      <c r="J447" s="168" t="n">
        <v>99.39</v>
      </c>
      <c r="K447" s="168" t="n">
        <v>99.14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景碩(3189)</t>
        </is>
      </c>
      <c r="E448" s="167" t="n">
        <v>51</v>
      </c>
      <c r="F448" s="167" t="n">
        <v>44</v>
      </c>
      <c r="G448" s="167" t="n">
        <v>4598</v>
      </c>
      <c r="H448" s="167" t="n">
        <v>3932</v>
      </c>
      <c r="I448" s="167" t="n">
        <v>666</v>
      </c>
      <c r="J448" s="168" t="n">
        <v>901.61</v>
      </c>
      <c r="K448" s="168" t="n">
        <v>893.7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創意(3443)</t>
        </is>
      </c>
      <c r="E449" s="167" t="n">
        <v>8</v>
      </c>
      <c r="F449" s="167" t="n">
        <v>5</v>
      </c>
      <c r="G449" s="167" t="n">
        <v>4585</v>
      </c>
      <c r="H449" s="167" t="n">
        <v>2903</v>
      </c>
      <c r="I449" s="167" t="n">
        <v>1682</v>
      </c>
      <c r="J449" s="168" t="n">
        <v>5731.25</v>
      </c>
      <c r="K449" s="168" t="n">
        <v>5805.4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群創(3481)</t>
        </is>
      </c>
      <c r="E450" s="167" t="n">
        <v>789</v>
      </c>
      <c r="F450" s="167" t="n">
        <v>397</v>
      </c>
      <c r="G450" s="167" t="n">
        <v>3811</v>
      </c>
      <c r="H450" s="167" t="n">
        <v>1897</v>
      </c>
      <c r="I450" s="167" t="n">
        <v>1914</v>
      </c>
      <c r="J450" s="168" t="n">
        <v>48.3</v>
      </c>
      <c r="K450" s="168" t="n">
        <v>47.78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波若威(3163)</t>
        </is>
      </c>
      <c r="E451" s="167" t="n">
        <v>45</v>
      </c>
      <c r="F451" s="167" t="n">
        <v>14</v>
      </c>
      <c r="G451" s="167" t="n">
        <v>3410</v>
      </c>
      <c r="H451" s="167" t="n">
        <v>1053</v>
      </c>
      <c r="I451" s="167" t="n">
        <v>2357</v>
      </c>
      <c r="J451" s="168" t="n">
        <v>757.73</v>
      </c>
      <c r="K451" s="168" t="n">
        <v>752.0700000000001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台虹(8039)</t>
        </is>
      </c>
      <c r="E452" s="167" t="n">
        <v>93</v>
      </c>
      <c r="F452" s="167" t="n">
        <v>78</v>
      </c>
      <c r="G452" s="167" t="n">
        <v>3200</v>
      </c>
      <c r="H452" s="167" t="n">
        <v>2670</v>
      </c>
      <c r="I452" s="167" t="n">
        <v>530</v>
      </c>
      <c r="J452" s="168" t="n">
        <v>344.05</v>
      </c>
      <c r="K452" s="168" t="n">
        <v>342.33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群聯(8299)</t>
        </is>
      </c>
      <c r="E453" s="167" t="n">
        <v>11</v>
      </c>
      <c r="F453" s="167" t="n">
        <v>9</v>
      </c>
      <c r="G453" s="167" t="n">
        <v>2436</v>
      </c>
      <c r="H453" s="167" t="n">
        <v>2016</v>
      </c>
      <c r="I453" s="167" t="n">
        <v>420</v>
      </c>
      <c r="J453" s="168" t="n">
        <v>2214.27</v>
      </c>
      <c r="K453" s="168" t="n">
        <v>2239.44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頎邦(6147)</t>
        </is>
      </c>
      <c r="E454" s="167" t="n">
        <v>109</v>
      </c>
      <c r="F454" s="167" t="n">
        <v>57</v>
      </c>
      <c r="G454" s="167" t="n">
        <v>2072</v>
      </c>
      <c r="H454" s="167" t="n">
        <v>1071</v>
      </c>
      <c r="I454" s="167" t="n">
        <v>1001</v>
      </c>
      <c r="J454" s="168" t="n">
        <v>190.06</v>
      </c>
      <c r="K454" s="168" t="n">
        <v>187.86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新盛力(4931)</t>
        </is>
      </c>
      <c r="E455" s="167" t="n">
        <v>61</v>
      </c>
      <c r="F455" s="167" t="n">
        <v>48</v>
      </c>
      <c r="G455" s="167" t="n">
        <v>1652</v>
      </c>
      <c r="H455" s="167" t="n">
        <v>1310</v>
      </c>
      <c r="I455" s="167" t="n">
        <v>342</v>
      </c>
      <c r="J455" s="168" t="n">
        <v>270.87</v>
      </c>
      <c r="K455" s="168" t="n">
        <v>272.88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鴻海(2317)</t>
        </is>
      </c>
      <c r="E456" s="167" t="n">
        <v>47</v>
      </c>
      <c r="F456" s="167" t="n">
        <v>17</v>
      </c>
      <c r="G456" s="167" t="n">
        <v>1185</v>
      </c>
      <c r="H456" s="167" t="n">
        <v>433</v>
      </c>
      <c r="I456" s="167" t="n">
        <v>752</v>
      </c>
      <c r="J456" s="168" t="n">
        <v>252.04</v>
      </c>
      <c r="K456" s="168" t="n">
        <v>254.59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力積電(6770)</t>
        </is>
      </c>
      <c r="E457" s="167" t="n">
        <v>159</v>
      </c>
      <c r="F457" s="167" t="n">
        <v>93</v>
      </c>
      <c r="G457" s="167" t="n">
        <v>1130</v>
      </c>
      <c r="H457" s="167" t="n">
        <v>658</v>
      </c>
      <c r="I457" s="167" t="n">
        <v>472</v>
      </c>
      <c r="J457" s="168" t="n">
        <v>71.09999999999999</v>
      </c>
      <c r="K457" s="168" t="n">
        <v>70.8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文曄(3036)</t>
        </is>
      </c>
      <c r="E458" s="167" t="n">
        <v>51</v>
      </c>
      <c r="F458" s="167" t="n">
        <v>5</v>
      </c>
      <c r="G458" s="167" t="n">
        <v>1006</v>
      </c>
      <c r="H458" s="167" t="n">
        <v>102</v>
      </c>
      <c r="I458" s="167" t="n">
        <v>904</v>
      </c>
      <c r="J458" s="168" t="n">
        <v>197.22</v>
      </c>
      <c r="K458" s="168" t="n">
        <v>203.2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雍智科技(6683)</t>
        </is>
      </c>
      <c r="E459" s="167" t="n">
        <v>6</v>
      </c>
      <c r="F459" s="167" t="n">
        <v>2</v>
      </c>
      <c r="G459" s="167" t="n">
        <v>737</v>
      </c>
      <c r="H459" s="167" t="n">
        <v>190</v>
      </c>
      <c r="I459" s="167" t="n">
        <v>547</v>
      </c>
      <c r="J459" s="168" t="n">
        <v>1227.83</v>
      </c>
      <c r="K459" s="168" t="n">
        <v>952.5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台灣虎航(6757)</t>
        </is>
      </c>
      <c r="E460" s="167" t="n">
        <v>121</v>
      </c>
      <c r="F460" s="167" t="n">
        <v>0</v>
      </c>
      <c r="G460" s="167" t="n">
        <v>673</v>
      </c>
      <c r="H460" s="167" t="n">
        <v>0</v>
      </c>
      <c r="I460" s="167" t="n">
        <v>673</v>
      </c>
      <c r="J460" s="168" t="n">
        <v>55.64</v>
      </c>
      <c r="K460" s="168" t="n">
        <v>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盟立(2464)</t>
        </is>
      </c>
      <c r="E461" s="167" t="n">
        <v>35</v>
      </c>
      <c r="F461" s="167" t="n">
        <v>12</v>
      </c>
      <c r="G461" s="167" t="n">
        <v>670</v>
      </c>
      <c r="H461" s="167" t="n">
        <v>222</v>
      </c>
      <c r="I461" s="167" t="n">
        <v>448</v>
      </c>
      <c r="J461" s="168" t="n">
        <v>191.43</v>
      </c>
      <c r="K461" s="168" t="n">
        <v>185.33</v>
      </c>
      <c r="L461" s="192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新代(7750)</t>
        </is>
      </c>
      <c r="E463" s="173" t="n">
        <v>111</v>
      </c>
      <c r="F463" s="173" t="n">
        <v>0</v>
      </c>
      <c r="G463" s="173" t="n">
        <v>26121</v>
      </c>
      <c r="H463" s="173" t="n">
        <v>0</v>
      </c>
      <c r="I463" s="173" t="n">
        <v>26121</v>
      </c>
      <c r="J463" s="174" t="n">
        <v>2353.23</v>
      </c>
      <c r="K463" s="174" t="n">
        <v>0</v>
      </c>
      <c r="L463" s="191">
        <f>F463*(K463-J463)</f>
        <v/>
      </c>
    </row>
    <row r="464" ht="16.5" customHeight="1">
      <c r="A464" s="175" t="n"/>
      <c r="B464" s="175" t="n"/>
      <c r="C464" s="175" t="n"/>
      <c r="D464" s="172" t="inlineStr">
        <is>
          <t>富世達(6805)</t>
        </is>
      </c>
      <c r="E464" s="173" t="n">
        <v>38</v>
      </c>
      <c r="F464" s="173" t="n">
        <v>1</v>
      </c>
      <c r="G464" s="173" t="n">
        <v>8871</v>
      </c>
      <c r="H464" s="173" t="n">
        <v>240</v>
      </c>
      <c r="I464" s="173" t="n">
        <v>8631</v>
      </c>
      <c r="J464" s="174" t="n">
        <v>2334.47</v>
      </c>
      <c r="K464" s="174" t="n">
        <v>2402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創意(3443)</t>
        </is>
      </c>
      <c r="E465" s="173" t="n">
        <v>6</v>
      </c>
      <c r="F465" s="173" t="n">
        <v>3</v>
      </c>
      <c r="G465" s="173" t="n">
        <v>3679</v>
      </c>
      <c r="H465" s="173" t="n">
        <v>1863</v>
      </c>
      <c r="I465" s="173" t="n">
        <v>1816</v>
      </c>
      <c r="J465" s="174" t="n">
        <v>6131.5</v>
      </c>
      <c r="K465" s="174" t="n">
        <v>6210.33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精材(3374)</t>
        </is>
      </c>
      <c r="E466" s="173" t="n">
        <v>85</v>
      </c>
      <c r="F466" s="173" t="n">
        <v>75</v>
      </c>
      <c r="G466" s="173" t="n">
        <v>3265</v>
      </c>
      <c r="H466" s="173" t="n">
        <v>2899</v>
      </c>
      <c r="I466" s="173" t="n">
        <v>366</v>
      </c>
      <c r="J466" s="174" t="n">
        <v>384.16</v>
      </c>
      <c r="K466" s="174" t="n">
        <v>386.52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53</v>
      </c>
      <c r="F467" s="173" t="n">
        <v>28</v>
      </c>
      <c r="G467" s="173" t="n">
        <v>2912</v>
      </c>
      <c r="H467" s="173" t="n">
        <v>1545</v>
      </c>
      <c r="I467" s="173" t="n">
        <v>1367</v>
      </c>
      <c r="J467" s="174" t="n">
        <v>549.49</v>
      </c>
      <c r="K467" s="174" t="n">
        <v>551.6799999999999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尖點(8021)</t>
        </is>
      </c>
      <c r="E468" s="173" t="n">
        <v>42</v>
      </c>
      <c r="F468" s="173" t="n">
        <v>12</v>
      </c>
      <c r="G468" s="173" t="n">
        <v>1836</v>
      </c>
      <c r="H468" s="173" t="n">
        <v>540</v>
      </c>
      <c r="I468" s="173" t="n">
        <v>1296</v>
      </c>
      <c r="J468" s="174" t="n">
        <v>437.05</v>
      </c>
      <c r="K468" s="174" t="n">
        <v>449.83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長榮航太(2645)</t>
        </is>
      </c>
      <c r="E469" s="173" t="n">
        <v>83</v>
      </c>
      <c r="F469" s="173" t="n">
        <v>1</v>
      </c>
      <c r="G469" s="173" t="n">
        <v>1538</v>
      </c>
      <c r="H469" s="173" t="n">
        <v>4</v>
      </c>
      <c r="I469" s="173" t="n">
        <v>1534</v>
      </c>
      <c r="J469" s="174" t="n">
        <v>185.35</v>
      </c>
      <c r="K469" s="174" t="n">
        <v>35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華邦電(2344)</t>
        </is>
      </c>
      <c r="E470" s="173" t="n">
        <v>80</v>
      </c>
      <c r="F470" s="173" t="n">
        <v>43</v>
      </c>
      <c r="G470" s="173" t="n">
        <v>1481</v>
      </c>
      <c r="H470" s="173" t="n">
        <v>788</v>
      </c>
      <c r="I470" s="173" t="n">
        <v>693</v>
      </c>
      <c r="J470" s="174" t="n">
        <v>185.16</v>
      </c>
      <c r="K470" s="174" t="n">
        <v>183.26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力積電(6770)</t>
        </is>
      </c>
      <c r="E471" s="173" t="n">
        <v>206</v>
      </c>
      <c r="F471" s="173" t="n">
        <v>63</v>
      </c>
      <c r="G471" s="173" t="n">
        <v>1473</v>
      </c>
      <c r="H471" s="173" t="n">
        <v>445</v>
      </c>
      <c r="I471" s="173" t="n">
        <v>1028</v>
      </c>
      <c r="J471" s="174" t="n">
        <v>71.52</v>
      </c>
      <c r="K471" s="174" t="n">
        <v>70.59999999999999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世芯-KY(3661)</t>
        </is>
      </c>
      <c r="E472" s="173" t="n">
        <v>3</v>
      </c>
      <c r="F472" s="173" t="n">
        <v>1</v>
      </c>
      <c r="G472" s="173" t="n">
        <v>1245</v>
      </c>
      <c r="H472" s="173" t="n">
        <v>534</v>
      </c>
      <c r="I472" s="173" t="n">
        <v>711</v>
      </c>
      <c r="J472" s="174" t="n">
        <v>4149.33</v>
      </c>
      <c r="K472" s="174" t="n">
        <v>5344</v>
      </c>
      <c r="L472" s="191">
        <f>F472*(K472-J472)</f>
        <v/>
      </c>
    </row>
    <row r="473" ht="16.5" customHeight="1">
      <c r="A473" s="176" t="n"/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A474" s="175" t="n"/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聯發科(2454)</t>
        </is>
      </c>
      <c r="E474" s="173" t="n">
        <v>29</v>
      </c>
      <c r="F474" s="173" t="n">
        <v>18</v>
      </c>
      <c r="G474" s="173" t="n">
        <v>11378</v>
      </c>
      <c r="H474" s="173" t="n">
        <v>7188</v>
      </c>
      <c r="I474" s="173" t="n">
        <v>4190</v>
      </c>
      <c r="J474" s="174" t="n">
        <v>3923.52</v>
      </c>
      <c r="K474" s="174" t="n">
        <v>3993.61</v>
      </c>
      <c r="L474" s="191">
        <f>F474*(K474-J474)</f>
        <v/>
      </c>
    </row>
    <row r="475" ht="16.5" customHeight="1">
      <c r="A475" s="175" t="n"/>
      <c r="B475" s="175" t="n"/>
      <c r="C475" s="175" t="n"/>
      <c r="D475" s="172" t="inlineStr">
        <is>
          <t>南亞(1303)</t>
        </is>
      </c>
      <c r="E475" s="173" t="n">
        <v>314</v>
      </c>
      <c r="F475" s="173" t="n">
        <v>188</v>
      </c>
      <c r="G475" s="173" t="n">
        <v>7095</v>
      </c>
      <c r="H475" s="173" t="n">
        <v>4242</v>
      </c>
      <c r="I475" s="173" t="n">
        <v>2853</v>
      </c>
      <c r="J475" s="174" t="n">
        <v>225.96</v>
      </c>
      <c r="K475" s="174" t="n">
        <v>225.63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台積電(2330)</t>
        </is>
      </c>
      <c r="E476" s="173" t="n">
        <v>25</v>
      </c>
      <c r="F476" s="173" t="n">
        <v>22</v>
      </c>
      <c r="G476" s="173" t="n">
        <v>6085</v>
      </c>
      <c r="H476" s="173" t="n">
        <v>5231</v>
      </c>
      <c r="I476" s="173" t="n">
        <v>854</v>
      </c>
      <c r="J476" s="174" t="n">
        <v>2433.96</v>
      </c>
      <c r="K476" s="174" t="n">
        <v>2377.73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穩懋(3105)</t>
        </is>
      </c>
      <c r="E477" s="173" t="n">
        <v>137</v>
      </c>
      <c r="F477" s="173" t="n">
        <v>121</v>
      </c>
      <c r="G477" s="173" t="n">
        <v>6008</v>
      </c>
      <c r="H477" s="173" t="n">
        <v>5293</v>
      </c>
      <c r="I477" s="173" t="n">
        <v>715</v>
      </c>
      <c r="J477" s="174" t="n">
        <v>438.55</v>
      </c>
      <c r="K477" s="174" t="n">
        <v>437.45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285</v>
      </c>
      <c r="F478" s="173" t="n">
        <v>186</v>
      </c>
      <c r="G478" s="173" t="n">
        <v>5247</v>
      </c>
      <c r="H478" s="173" t="n">
        <v>3429</v>
      </c>
      <c r="I478" s="173" t="n">
        <v>1818</v>
      </c>
      <c r="J478" s="174" t="n">
        <v>184.12</v>
      </c>
      <c r="K478" s="174" t="n">
        <v>184.34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台虹(8039)</t>
        </is>
      </c>
      <c r="E479" s="173" t="n">
        <v>120</v>
      </c>
      <c r="F479" s="173" t="n">
        <v>100</v>
      </c>
      <c r="G479" s="173" t="n">
        <v>4129</v>
      </c>
      <c r="H479" s="173" t="n">
        <v>3441</v>
      </c>
      <c r="I479" s="173" t="n">
        <v>688</v>
      </c>
      <c r="J479" s="174" t="n">
        <v>344.06</v>
      </c>
      <c r="K479" s="174" t="n">
        <v>344.1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群創(3481)</t>
        </is>
      </c>
      <c r="E480" s="173" t="n">
        <v>831</v>
      </c>
      <c r="F480" s="173" t="n">
        <v>696</v>
      </c>
      <c r="G480" s="173" t="n">
        <v>3980</v>
      </c>
      <c r="H480" s="173" t="n">
        <v>3336</v>
      </c>
      <c r="I480" s="173" t="n">
        <v>644</v>
      </c>
      <c r="J480" s="174" t="n">
        <v>47.9</v>
      </c>
      <c r="K480" s="174" t="n">
        <v>47.93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玉晶光(3406)</t>
        </is>
      </c>
      <c r="E481" s="173" t="n">
        <v>36</v>
      </c>
      <c r="F481" s="173" t="n">
        <v>14</v>
      </c>
      <c r="G481" s="173" t="n">
        <v>3261</v>
      </c>
      <c r="H481" s="173" t="n">
        <v>1317</v>
      </c>
      <c r="I481" s="173" t="n">
        <v>1944</v>
      </c>
      <c r="J481" s="174" t="n">
        <v>905.9400000000001</v>
      </c>
      <c r="K481" s="174" t="n">
        <v>941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2</v>
      </c>
      <c r="F482" s="173" t="n">
        <v>1</v>
      </c>
      <c r="G482" s="173" t="n">
        <v>2973</v>
      </c>
      <c r="H482" s="173" t="n">
        <v>1473</v>
      </c>
      <c r="I482" s="173" t="n">
        <v>1500</v>
      </c>
      <c r="J482" s="174" t="n">
        <v>14867</v>
      </c>
      <c r="K482" s="174" t="n">
        <v>14728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南電(8046)</t>
        </is>
      </c>
      <c r="E483" s="173" t="n">
        <v>23</v>
      </c>
      <c r="F483" s="173" t="n">
        <v>17</v>
      </c>
      <c r="G483" s="173" t="n">
        <v>2861</v>
      </c>
      <c r="H483" s="173" t="n">
        <v>2056</v>
      </c>
      <c r="I483" s="173" t="n">
        <v>805</v>
      </c>
      <c r="J483" s="174" t="n">
        <v>1243.83</v>
      </c>
      <c r="K483" s="174" t="n">
        <v>1209.41</v>
      </c>
      <c r="L483" s="192">
        <f>F483*(K483-J483)</f>
        <v/>
      </c>
    </row>
    <row r="484" ht="16.5" customHeight="1">
      <c r="A484" s="177" t="inlineStr">
        <is>
          <t>ⓘ histock top-buyer 資料 fetched @ 2026-08-29 00:22 | 10/10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欣興(3037)</t>
        </is>
      </c>
      <c r="E190" s="111" t="n">
        <v>49</v>
      </c>
      <c r="F190" s="111" t="n">
        <v>6</v>
      </c>
      <c r="G190" s="111" t="n">
        <v>5837</v>
      </c>
      <c r="H190" s="111" t="n">
        <v>653</v>
      </c>
      <c r="I190" s="111" t="n">
        <v>5184</v>
      </c>
      <c r="J190" s="112" t="n">
        <v>1191.24</v>
      </c>
      <c r="K190" s="112" t="n">
        <v>1088.83</v>
      </c>
      <c r="L190" s="192">
        <f>F190*(K190-J190)</f>
        <v/>
      </c>
    </row>
    <row r="191" ht="16.5" customHeight="1">
      <c r="D191" s="110" t="inlineStr">
        <is>
          <t>國巨*(2327)</t>
        </is>
      </c>
      <c r="E191" s="111" t="n">
        <v>98</v>
      </c>
      <c r="F191" s="111" t="n">
        <v>59</v>
      </c>
      <c r="G191" s="111" t="n">
        <v>5439</v>
      </c>
      <c r="H191" s="111" t="n">
        <v>3274</v>
      </c>
      <c r="I191" s="111" t="n">
        <v>2165</v>
      </c>
      <c r="J191" s="112" t="n">
        <v>555</v>
      </c>
      <c r="K191" s="112" t="n">
        <v>555</v>
      </c>
      <c r="L191" s="191">
        <f>F191*(K191-J191)</f>
        <v/>
      </c>
    </row>
    <row r="192" ht="16.5" customHeight="1">
      <c r="D192" s="110" t="inlineStr">
        <is>
          <t>南亞(1303)</t>
        </is>
      </c>
      <c r="E192" s="111" t="n">
        <v>227</v>
      </c>
      <c r="F192" s="111" t="n">
        <v>89</v>
      </c>
      <c r="G192" s="111" t="n">
        <v>5164</v>
      </c>
      <c r="H192" s="111" t="n">
        <v>2025</v>
      </c>
      <c r="I192" s="111" t="n">
        <v>3139</v>
      </c>
      <c r="J192" s="112" t="n">
        <v>227.5</v>
      </c>
      <c r="K192" s="112" t="n">
        <v>227.51</v>
      </c>
      <c r="L192" s="191">
        <f>F192*(K192-J192)</f>
        <v/>
      </c>
    </row>
    <row r="193" ht="16.5" customHeight="1">
      <c r="D193" s="110" t="inlineStr">
        <is>
          <t>精材(3374)</t>
        </is>
      </c>
      <c r="E193" s="111" t="n">
        <v>98</v>
      </c>
      <c r="F193" s="111" t="n">
        <v>49</v>
      </c>
      <c r="G193" s="111" t="n">
        <v>3440</v>
      </c>
      <c r="H193" s="111" t="n">
        <v>1720</v>
      </c>
      <c r="I193" s="111" t="n">
        <v>1720</v>
      </c>
      <c r="J193" s="112" t="n">
        <v>351</v>
      </c>
      <c r="K193" s="112" t="n">
        <v>351</v>
      </c>
      <c r="L193" s="191">
        <f>F193*(K193-J193)</f>
        <v/>
      </c>
    </row>
    <row r="194" ht="16.5" customHeight="1">
      <c r="D194" s="110" t="inlineStr">
        <is>
          <t>台積電(2330)</t>
        </is>
      </c>
      <c r="E194" s="111" t="n">
        <v>36</v>
      </c>
      <c r="F194" s="111" t="n">
        <v>11</v>
      </c>
      <c r="G194" s="111" t="n">
        <v>2401</v>
      </c>
      <c r="H194" s="111" t="n">
        <v>1698</v>
      </c>
      <c r="I194" s="111" t="n">
        <v>703</v>
      </c>
      <c r="J194" s="112" t="n">
        <v>666.97</v>
      </c>
      <c r="K194" s="112" t="n">
        <v>1544</v>
      </c>
      <c r="L194" s="191">
        <f>F194*(K194-J194)</f>
        <v/>
      </c>
    </row>
    <row r="195" ht="16.5" customHeight="1">
      <c r="D195" s="110" t="inlineStr">
        <is>
          <t>台光電(2383)</t>
        </is>
      </c>
      <c r="E195" s="111" t="n">
        <v>4</v>
      </c>
      <c r="F195" s="111" t="n">
        <v>2</v>
      </c>
      <c r="G195" s="111" t="n">
        <v>2384</v>
      </c>
      <c r="H195" s="111" t="n">
        <v>1109</v>
      </c>
      <c r="I195" s="111" t="n">
        <v>1275</v>
      </c>
      <c r="J195" s="112" t="n">
        <v>5958.75</v>
      </c>
      <c r="K195" s="112" t="n">
        <v>5545</v>
      </c>
      <c r="L195" s="192">
        <f>F195*(K195-J195)</f>
        <v/>
      </c>
    </row>
    <row r="196" ht="16.5" customHeight="1">
      <c r="D196" s="110" t="inlineStr">
        <is>
          <t>環球晶(6488)</t>
        </is>
      </c>
      <c r="E196" s="111" t="n">
        <v>23</v>
      </c>
      <c r="F196" s="111" t="n">
        <v>3</v>
      </c>
      <c r="G196" s="111" t="n">
        <v>2234</v>
      </c>
      <c r="H196" s="111" t="n">
        <v>304</v>
      </c>
      <c r="I196" s="111" t="n">
        <v>1930</v>
      </c>
      <c r="J196" s="112" t="n">
        <v>971.35</v>
      </c>
      <c r="K196" s="112" t="n">
        <v>1013.33</v>
      </c>
      <c r="L196" s="191">
        <f>F196*(K196-J196)</f>
        <v/>
      </c>
    </row>
    <row r="197" ht="16.5" customHeight="1">
      <c r="D197" s="110" t="inlineStr">
        <is>
          <t>聯茂(6213)</t>
        </is>
      </c>
      <c r="E197" s="111" t="n">
        <v>39</v>
      </c>
      <c r="F197" s="111" t="n">
        <v>30</v>
      </c>
      <c r="G197" s="111" t="n">
        <v>2178</v>
      </c>
      <c r="H197" s="111" t="n">
        <v>1668</v>
      </c>
      <c r="I197" s="111" t="n">
        <v>510</v>
      </c>
      <c r="J197" s="112" t="n">
        <v>558.51</v>
      </c>
      <c r="K197" s="112" t="n">
        <v>556.13</v>
      </c>
      <c r="L197" s="192">
        <f>F197*(K197-J197)</f>
        <v/>
      </c>
    </row>
    <row r="198" ht="16.5" customHeight="1">
      <c r="D198" s="110" t="inlineStr">
        <is>
          <t>創意(3443)</t>
        </is>
      </c>
      <c r="E198" s="111" t="n">
        <v>3</v>
      </c>
      <c r="F198" s="111" t="n">
        <v>3</v>
      </c>
      <c r="G198" s="111" t="n">
        <v>2057</v>
      </c>
      <c r="H198" s="111" t="n">
        <v>1818</v>
      </c>
      <c r="I198" s="111" t="n">
        <v>239</v>
      </c>
      <c r="J198" s="112" t="n">
        <v>6855.33</v>
      </c>
      <c r="K198" s="112" t="n">
        <v>6060.67</v>
      </c>
      <c r="L198" s="192">
        <f>F198*(K198-J198)</f>
        <v/>
      </c>
    </row>
    <row r="199" ht="16.5" customHeight="1">
      <c r="D199" s="110" t="inlineStr">
        <is>
          <t>聯亞(3081)</t>
        </is>
      </c>
      <c r="E199" s="111" t="n">
        <v>6</v>
      </c>
      <c r="F199" s="111" t="n">
        <v>4</v>
      </c>
      <c r="G199" s="111" t="n">
        <v>2050</v>
      </c>
      <c r="H199" s="111" t="n">
        <v>1459</v>
      </c>
      <c r="I199" s="111" t="n">
        <v>591</v>
      </c>
      <c r="J199" s="112" t="n">
        <v>3417.5</v>
      </c>
      <c r="K199" s="112" t="n">
        <v>3648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D416" s="206" t="inlineStr">
        <is>
          <t>直得(1597)</t>
        </is>
      </c>
      <c r="E416" s="207" t="n">
        <v>493</v>
      </c>
      <c r="F416" s="207" t="n">
        <v>1</v>
      </c>
      <c r="G416" s="207" t="n">
        <v>7272</v>
      </c>
      <c r="H416" s="207" t="n">
        <v>2</v>
      </c>
      <c r="I416" s="207" t="n">
        <v>7270</v>
      </c>
      <c r="J416" s="208" t="n">
        <v>147.5</v>
      </c>
      <c r="K416" s="208" t="n">
        <v>15</v>
      </c>
      <c r="L416" s="210">
        <f>F416*(K416-J416)</f>
        <v/>
      </c>
    </row>
    <row r="417" ht="16.5" customHeight="1"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2026-08-28 00:51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2026-08-29T00:22:31Z</dcterms:modified>
</cp:coreProperties>
</file>