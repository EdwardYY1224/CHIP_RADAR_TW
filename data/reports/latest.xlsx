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2" sheetId="6" state="visible" r:id="rId6"/>
    <sheet name="202609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8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79.6%
  • 領頭金額 69,200 萬
  • 合計淨買 86,970 萬
  • 大戶數 10 位 (名義共識)
判讀: 名義 10 位大戶共識,
實質 1 人下注佔 80%,
剩餘 9 位為陪襯小單,
真共識訊號被稀釋.</t>
      </text>
    </comment>
    <comment ref="D21" authorId="0" shapeId="0">
      <text>
        <t>⚠️ 假共識警示
領頭大戶「張濬安(航海王)」獨佔比 58.4%
  • 領頭金額 37,455 萬
  • 合計淨買 64,102 萬
  • 大戶數 10 位 (名義共識)
判讀: 名義 10 位大戶共識,
實質 1 人下注佔 58%,
剩餘 9 位為陪襯小單,
真共識訊號被稀釋.</t>
      </text>
    </comment>
    <comment ref="D25" authorId="0" shapeId="0">
      <text>
        <t>⚠️ 假共識警示
領頭大戶「張濬安(航海王)」獨佔比 74.0%
  • 領頭金額 26,167 萬
  • 合計淨買 35,384 萬
  • 大戶數 10 位 (名義共識)
判讀: 名義 10 位大戶共識,
實質 1 人下注佔 74%,
剩餘 9 位為陪襯小單,
真共識訊號被稀釋.</t>
      </text>
    </comment>
    <comment ref="D26" authorId="0" shapeId="0">
      <text>
        <t>⚠️ 假共識警示
領頭大戶「陳族元」獨佔比 57.4%
  • 領頭金額 20,168 萬
  • 合計淨買 35,165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2026/09/02 (追蹤 13 位大戶)</t>
        </is>
      </c>
    </row>
    <row r="3" ht="24" customHeight="1">
      <c r="B3" s="2" t="inlineStr">
        <is>
          <t>🎯 19 強共識 / Q5 ↕ 中性 46.5% / E 10 異常 / F 6 長期 / J 0 集中 / H 1 借券壓力</t>
        </is>
      </c>
    </row>
    <row r="4" ht="22" customHeight="1">
      <c r="B4" s="3" t="inlineStr">
        <is>
          <t>💡 📌 一般共識 2330 / 2454 / 3189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47.4% = -19.5pp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4 位 master 量爆但 Q5 中性 — quad 未啟動</t>
        </is>
      </c>
    </row>
    <row r="12" ht="18" customHeight="1">
      <c r="B12" s="9" t="inlineStr">
        <is>
          <t>📊 今日共識集中產業 (top 3): 半導體業 8 (42%)  |  電子零組件業 5 (26%)  |  其他電子業 2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99373</v>
      </c>
      <c r="I16" t="inlineStr">
        <is>
          <t>強森</t>
        </is>
      </c>
      <c r="J16" s="18" t="n">
        <v>45971</v>
      </c>
      <c r="K16" t="inlineStr">
        <is>
          <t>陳律師</t>
        </is>
      </c>
      <c r="L16" s="18" t="n">
        <v>42852</v>
      </c>
      <c r="M16" s="19" t="n">
        <v>10</v>
      </c>
      <c r="N16" s="17" t="n">
        <v>309108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10</v>
      </c>
      <c r="F17" s="15" t="n">
        <v>21</v>
      </c>
      <c r="G17" s="16" t="inlineStr">
        <is>
          <t>林滄海</t>
        </is>
      </c>
      <c r="H17" s="17" t="n">
        <v>74428</v>
      </c>
      <c r="I17" t="inlineStr">
        <is>
          <t>張濬安</t>
        </is>
      </c>
      <c r="J17" s="18" t="n">
        <v>55814</v>
      </c>
      <c r="K17" t="inlineStr">
        <is>
          <t>巨人傑</t>
        </is>
      </c>
      <c r="L17" s="18" t="n">
        <v>40732</v>
      </c>
      <c r="M17" s="19" t="n">
        <v>7</v>
      </c>
      <c r="N17" s="17" t="n">
        <v>256864</v>
      </c>
    </row>
    <row r="18">
      <c r="B18" s="13" t="n">
        <v>3</v>
      </c>
      <c r="C18" t="inlineStr">
        <is>
          <t>3189</t>
        </is>
      </c>
      <c r="D18" s="20" t="inlineStr">
        <is>
          <t>📌 🔁 ⚠️ 景碩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69200</v>
      </c>
      <c r="I18" t="inlineStr">
        <is>
          <t>林滄海</t>
        </is>
      </c>
      <c r="J18" s="18" t="n">
        <v>7397</v>
      </c>
      <c r="K18" t="inlineStr">
        <is>
          <t>張濬安</t>
        </is>
      </c>
      <c r="L18" s="18" t="n">
        <v>4253</v>
      </c>
      <c r="M18" s="19" t="n">
        <v>7</v>
      </c>
      <c r="N18" s="17" t="n">
        <v>86970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12332</v>
      </c>
      <c r="I19" t="inlineStr">
        <is>
          <t>強森</t>
        </is>
      </c>
      <c r="J19" s="18" t="n">
        <v>10396</v>
      </c>
      <c r="K19" t="inlineStr">
        <is>
          <t>張濬安</t>
        </is>
      </c>
      <c r="L19" s="18" t="n">
        <v>9089</v>
      </c>
      <c r="M19" s="19" t="n">
        <v>9</v>
      </c>
      <c r="N19" s="17" t="n">
        <v>76570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11</v>
      </c>
      <c r="F20" s="15" t="n">
        <v>24</v>
      </c>
      <c r="G20" s="16" t="inlineStr">
        <is>
          <t>林滄海</t>
        </is>
      </c>
      <c r="H20" s="17" t="n">
        <v>18449</v>
      </c>
      <c r="I20" t="inlineStr">
        <is>
          <t>竹科主力分點</t>
        </is>
      </c>
      <c r="J20" s="18" t="n">
        <v>16946</v>
      </c>
      <c r="K20" t="inlineStr">
        <is>
          <t>強森</t>
        </is>
      </c>
      <c r="L20" s="18" t="n">
        <v>11680</v>
      </c>
      <c r="M20" s="19" t="n">
        <v>8</v>
      </c>
      <c r="N20" s="17" t="n">
        <v>75066</v>
      </c>
    </row>
    <row r="21">
      <c r="B21" t="n">
        <v>6</v>
      </c>
      <c r="C21" t="inlineStr">
        <is>
          <t>3665</t>
        </is>
      </c>
      <c r="D21" s="20" t="inlineStr">
        <is>
          <t>📌 ⚠️ 貿聯-KY</t>
        </is>
      </c>
      <c r="E21" s="14" t="n">
        <v>10</v>
      </c>
      <c r="F21" s="15" t="n">
        <v>15</v>
      </c>
      <c r="G21" s="16" t="inlineStr">
        <is>
          <t>張濬安</t>
        </is>
      </c>
      <c r="H21" s="17" t="n">
        <v>37455</v>
      </c>
      <c r="I21" t="inlineStr">
        <is>
          <t>林滄海</t>
        </is>
      </c>
      <c r="J21" s="18" t="n">
        <v>12721</v>
      </c>
      <c r="K21" t="inlineStr">
        <is>
          <t>民哥</t>
        </is>
      </c>
      <c r="L21" s="18" t="n">
        <v>4579</v>
      </c>
      <c r="M21" s="19" t="n">
        <v>7</v>
      </c>
      <c r="N21" s="17" t="n">
        <v>64102</v>
      </c>
    </row>
    <row r="22">
      <c r="B22" t="n">
        <v>7</v>
      </c>
      <c r="C22" t="inlineStr">
        <is>
          <t>3105</t>
        </is>
      </c>
      <c r="D22" t="inlineStr">
        <is>
          <t>📌 穩懋</t>
        </is>
      </c>
      <c r="E22" s="14" t="n">
        <v>11</v>
      </c>
      <c r="F22" s="15" t="n">
        <v>27</v>
      </c>
      <c r="G22" s="16" t="inlineStr">
        <is>
          <t>強森</t>
        </is>
      </c>
      <c r="H22" s="17" t="n">
        <v>15536</v>
      </c>
      <c r="I22" t="inlineStr">
        <is>
          <t>張濬安</t>
        </is>
      </c>
      <c r="J22" s="18" t="n">
        <v>10502</v>
      </c>
      <c r="K22" t="inlineStr">
        <is>
          <t>民哥</t>
        </is>
      </c>
      <c r="L22" s="18" t="n">
        <v>5343</v>
      </c>
      <c r="M22" s="19" t="n">
        <v>8</v>
      </c>
      <c r="N22" s="17" t="n">
        <v>55207</v>
      </c>
    </row>
    <row r="23">
      <c r="B23" t="n">
        <v>8</v>
      </c>
      <c r="C23" t="inlineStr">
        <is>
          <t>2327</t>
        </is>
      </c>
      <c r="D23" t="inlineStr">
        <is>
          <t>📌 🔁 國巨*</t>
        </is>
      </c>
      <c r="E23" s="14" t="n">
        <v>13</v>
      </c>
      <c r="F23" s="15" t="n">
        <v>30</v>
      </c>
      <c r="G23" s="16" t="inlineStr">
        <is>
          <t>林滄海</t>
        </is>
      </c>
      <c r="H23" s="17" t="n">
        <v>9442</v>
      </c>
      <c r="I23" t="inlineStr">
        <is>
          <t>強森</t>
        </is>
      </c>
      <c r="J23" s="18" t="n">
        <v>8602</v>
      </c>
      <c r="K23" t="inlineStr">
        <is>
          <t>陳族元</t>
        </is>
      </c>
      <c r="L23" s="18" t="n">
        <v>7132</v>
      </c>
      <c r="M23" s="19" t="n">
        <v>10</v>
      </c>
      <c r="N23" s="17" t="n">
        <v>53556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4" t="n">
        <v>12</v>
      </c>
      <c r="F24" s="15" t="n">
        <v>24</v>
      </c>
      <c r="G24" s="16" t="inlineStr">
        <is>
          <t>陳族元</t>
        </is>
      </c>
      <c r="H24" s="17" t="n">
        <v>8596</v>
      </c>
      <c r="I24" t="inlineStr">
        <is>
          <t>張濬安</t>
        </is>
      </c>
      <c r="J24" s="18" t="n">
        <v>5732</v>
      </c>
      <c r="K24" t="inlineStr">
        <is>
          <t>林滄海</t>
        </is>
      </c>
      <c r="L24" s="18" t="n">
        <v>5027</v>
      </c>
      <c r="M24" s="19" t="n">
        <v>9</v>
      </c>
      <c r="N24" s="17" t="n">
        <v>37269</v>
      </c>
    </row>
    <row r="25">
      <c r="B25" t="n">
        <v>10</v>
      </c>
      <c r="C25" t="inlineStr">
        <is>
          <t>3037</t>
        </is>
      </c>
      <c r="D25" s="20" t="inlineStr">
        <is>
          <t>📌 ⚠️ 欣興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26168</v>
      </c>
      <c r="I25" t="inlineStr">
        <is>
          <t>林滄海</t>
        </is>
      </c>
      <c r="J25" s="18" t="n">
        <v>3634</v>
      </c>
      <c r="K25" t="inlineStr">
        <is>
          <t>蔣承翰</t>
        </is>
      </c>
      <c r="L25" s="18" t="n">
        <v>1664</v>
      </c>
      <c r="M25" s="19" t="n">
        <v>7</v>
      </c>
      <c r="N25" s="17" t="n">
        <v>35384</v>
      </c>
    </row>
    <row r="26">
      <c r="B26" t="n">
        <v>11</v>
      </c>
      <c r="C26" t="inlineStr">
        <is>
          <t>3711</t>
        </is>
      </c>
      <c r="D26" s="20" t="inlineStr">
        <is>
          <t>📌 ⚠️ 日月光投控</t>
        </is>
      </c>
      <c r="E26" s="14" t="n">
        <v>10</v>
      </c>
      <c r="F26" s="15" t="n">
        <v>21</v>
      </c>
      <c r="G26" s="16" t="inlineStr">
        <is>
          <t>陳族元</t>
        </is>
      </c>
      <c r="H26" s="17" t="n">
        <v>20169</v>
      </c>
      <c r="I26" t="inlineStr">
        <is>
          <t>民哥</t>
        </is>
      </c>
      <c r="J26" s="18" t="n">
        <v>3837</v>
      </c>
      <c r="K26" t="inlineStr">
        <is>
          <t>林滄海</t>
        </is>
      </c>
      <c r="L26" s="18" t="n">
        <v>2866</v>
      </c>
      <c r="M26" s="19" t="n">
        <v>7</v>
      </c>
      <c r="N26" s="17" t="n">
        <v>35166</v>
      </c>
    </row>
    <row r="27">
      <c r="B27" t="n">
        <v>12</v>
      </c>
      <c r="C27" t="inlineStr">
        <is>
          <t>2303</t>
        </is>
      </c>
      <c r="D27" t="inlineStr">
        <is>
          <t>📌 🔁 聯電</t>
        </is>
      </c>
      <c r="E27" s="14" t="n">
        <v>13</v>
      </c>
      <c r="F27" s="15" t="n">
        <v>24</v>
      </c>
      <c r="G27" s="16" t="inlineStr">
        <is>
          <t>張濬安</t>
        </is>
      </c>
      <c r="H27" s="17" t="n">
        <v>7148</v>
      </c>
      <c r="I27" t="inlineStr">
        <is>
          <t>強森</t>
        </is>
      </c>
      <c r="J27" s="18" t="n">
        <v>5888</v>
      </c>
      <c r="K27" t="inlineStr">
        <is>
          <t>陳族元</t>
        </is>
      </c>
      <c r="L27" s="18" t="n">
        <v>4038</v>
      </c>
      <c r="M27" s="19" t="n">
        <v>10</v>
      </c>
      <c r="N27" s="17" t="n">
        <v>32459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11</v>
      </c>
      <c r="F28" s="15" t="n">
        <v>22</v>
      </c>
      <c r="G28" s="16" t="inlineStr">
        <is>
          <t>陳族元</t>
        </is>
      </c>
      <c r="H28" s="17" t="n">
        <v>12656</v>
      </c>
      <c r="I28" t="inlineStr">
        <is>
          <t>強森</t>
        </is>
      </c>
      <c r="J28" s="18" t="n">
        <v>4683</v>
      </c>
      <c r="K28" t="inlineStr">
        <is>
          <t>林滄海</t>
        </is>
      </c>
      <c r="L28" s="18" t="n">
        <v>3290</v>
      </c>
      <c r="M28" s="19" t="n">
        <v>8</v>
      </c>
      <c r="N28" s="17" t="n">
        <v>29095</v>
      </c>
    </row>
    <row r="29">
      <c r="B29" t="n">
        <v>14</v>
      </c>
      <c r="C29" t="inlineStr">
        <is>
          <t>2408</t>
        </is>
      </c>
      <c r="D29" t="inlineStr">
        <is>
          <t>🔁 南亞科</t>
        </is>
      </c>
      <c r="E29" s="14" t="n">
        <v>10</v>
      </c>
      <c r="F29" s="15" t="n">
        <v>12</v>
      </c>
      <c r="G29" s="16" t="inlineStr">
        <is>
          <t>張濬安</t>
        </is>
      </c>
      <c r="H29" s="17" t="n">
        <v>5812</v>
      </c>
      <c r="I29" t="inlineStr">
        <is>
          <t>陳律師</t>
        </is>
      </c>
      <c r="J29" s="18" t="n">
        <v>4803</v>
      </c>
      <c r="K29" t="inlineStr">
        <is>
          <t>Tradow</t>
        </is>
      </c>
      <c r="L29" s="18" t="n">
        <v>1876</v>
      </c>
      <c r="M29" s="19" t="n">
        <v>7</v>
      </c>
      <c r="N29" s="17" t="n">
        <v>20046</v>
      </c>
    </row>
    <row r="30">
      <c r="B30" t="n">
        <v>15</v>
      </c>
      <c r="C30" t="inlineStr">
        <is>
          <t>6274</t>
        </is>
      </c>
      <c r="D30" t="inlineStr">
        <is>
          <t>🔁 台燿</t>
        </is>
      </c>
      <c r="E30" s="14" t="n">
        <v>10</v>
      </c>
      <c r="F30" s="15" t="n">
        <v>12</v>
      </c>
      <c r="G30" s="16" t="inlineStr">
        <is>
          <t>陳族元</t>
        </is>
      </c>
      <c r="H30" s="17" t="n">
        <v>3447</v>
      </c>
      <c r="I30" t="inlineStr">
        <is>
          <t>張濬安</t>
        </is>
      </c>
      <c r="J30" s="18" t="n">
        <v>2950</v>
      </c>
      <c r="K30" t="inlineStr">
        <is>
          <t>林滄海</t>
        </is>
      </c>
      <c r="L30" s="18" t="n">
        <v>1145</v>
      </c>
      <c r="M30" s="19" t="n">
        <v>7</v>
      </c>
      <c r="N30" s="17" t="n">
        <v>11536</v>
      </c>
    </row>
    <row r="31">
      <c r="B31" t="n">
        <v>16</v>
      </c>
      <c r="C31" t="inlineStr">
        <is>
          <t>2317</t>
        </is>
      </c>
      <c r="D31" t="inlineStr">
        <is>
          <t>鴻海</t>
        </is>
      </c>
      <c r="E31" s="14" t="n">
        <v>11</v>
      </c>
      <c r="F31" s="15" t="n">
        <v>15</v>
      </c>
      <c r="G31" s="16" t="inlineStr">
        <is>
          <t>強森</t>
        </is>
      </c>
      <c r="H31" s="17" t="n">
        <v>4624</v>
      </c>
      <c r="I31" t="inlineStr">
        <is>
          <t>竹科主力分點</t>
        </is>
      </c>
      <c r="J31" s="18" t="n">
        <v>1338</v>
      </c>
      <c r="K31" t="inlineStr">
        <is>
          <t>張濬安</t>
        </is>
      </c>
      <c r="L31" s="18" t="n">
        <v>1203</v>
      </c>
      <c r="M31" s="19" t="n">
        <v>8</v>
      </c>
      <c r="N31" s="17" t="n">
        <v>11480</v>
      </c>
    </row>
    <row r="32">
      <c r="B32" t="n">
        <v>17</v>
      </c>
      <c r="C32" t="inlineStr">
        <is>
          <t>2324</t>
        </is>
      </c>
      <c r="D32" t="inlineStr">
        <is>
          <t>🔁 仁寶</t>
        </is>
      </c>
      <c r="E32" s="14" t="n">
        <v>10</v>
      </c>
      <c r="F32" s="15" t="n">
        <v>19</v>
      </c>
      <c r="G32" s="16" t="inlineStr">
        <is>
          <t>強森</t>
        </is>
      </c>
      <c r="H32" s="17" t="n">
        <v>1370</v>
      </c>
      <c r="I32" t="inlineStr">
        <is>
          <t>陳族元</t>
        </is>
      </c>
      <c r="J32" s="18" t="n">
        <v>949</v>
      </c>
      <c r="K32" t="inlineStr">
        <is>
          <t>林滄海</t>
        </is>
      </c>
      <c r="L32" s="18" t="n">
        <v>773</v>
      </c>
      <c r="M32" s="19" t="n">
        <v>7</v>
      </c>
      <c r="N32" s="17" t="n">
        <v>5185</v>
      </c>
    </row>
    <row r="33">
      <c r="B33" t="n">
        <v>18</v>
      </c>
      <c r="C33" t="inlineStr">
        <is>
          <t>1101</t>
        </is>
      </c>
      <c r="D33" t="inlineStr">
        <is>
          <t>台泥</t>
        </is>
      </c>
      <c r="E33" s="14" t="n">
        <v>11</v>
      </c>
      <c r="F33" s="15" t="n">
        <v>15</v>
      </c>
      <c r="G33" s="16" t="inlineStr">
        <is>
          <t>張濬安</t>
        </is>
      </c>
      <c r="H33" s="17" t="n">
        <v>1094</v>
      </c>
      <c r="I33" t="inlineStr">
        <is>
          <t>強森</t>
        </is>
      </c>
      <c r="J33" s="18" t="n">
        <v>1035</v>
      </c>
      <c r="K33" t="inlineStr">
        <is>
          <t>陳族元</t>
        </is>
      </c>
      <c r="L33" s="18" t="n">
        <v>637</v>
      </c>
      <c r="M33" s="19" t="n">
        <v>8</v>
      </c>
      <c r="N33" s="17" t="n">
        <v>3931</v>
      </c>
    </row>
    <row r="34">
      <c r="B34" t="n">
        <v>19</v>
      </c>
      <c r="C34" t="inlineStr">
        <is>
          <t>1714</t>
        </is>
      </c>
      <c r="D34" t="inlineStr">
        <is>
          <t>📌 和桐</t>
        </is>
      </c>
      <c r="E34" s="14" t="n">
        <v>10</v>
      </c>
      <c r="F34" s="15" t="n">
        <v>14</v>
      </c>
      <c r="G34" s="16" t="inlineStr">
        <is>
          <t>張濬安</t>
        </is>
      </c>
      <c r="H34" s="17" t="n">
        <v>608</v>
      </c>
      <c r="I34" t="inlineStr">
        <is>
          <t>強森</t>
        </is>
      </c>
      <c r="J34" s="18" t="n">
        <v>373</v>
      </c>
      <c r="K34" t="inlineStr">
        <is>
          <t>布哥</t>
        </is>
      </c>
      <c r="L34" s="18" t="n">
        <v>132</v>
      </c>
      <c r="M34" s="19" t="n">
        <v>7</v>
      </c>
      <c r="N34" s="17" t="n">
        <v>1608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210" t="n">
        <v>1</v>
      </c>
      <c r="F37" s="22" t="inlineStr">
        <is>
          <t>Q2 淨買差</t>
        </is>
      </c>
      <c r="G37" s="242" t="n">
        <v>-151.23464</v>
      </c>
    </row>
    <row r="38" ht="28" customHeight="1">
      <c r="B38" s="22" t="inlineStr">
        <is>
          <t>Q3 強共識股</t>
        </is>
      </c>
      <c r="C38" s="243" t="n">
        <v>19</v>
      </c>
      <c r="F38" s="22" t="inlineStr">
        <is>
          <t>Q4 追蹤佔比</t>
        </is>
      </c>
      <c r="G38" s="244" t="n">
        <v>0.2027315599898919</v>
      </c>
    </row>
    <row r="39" ht="22" customHeight="1">
      <c r="B39" s="245" t="n">
        <v>46.5</v>
      </c>
    </row>
    <row r="40" ht="18" customHeight="1">
      <c r="B40" s="28" t="inlineStr">
        <is>
          <t>✅ 過去 30 天 P/C 命中率: 偏多 14/23 (61%) | 偏空 2/2 (100%) | 整體 16/25 (64%)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1208977</v>
      </c>
      <c r="E44" t="inlineStr">
        <is>
          <t>26.8%</t>
        </is>
      </c>
      <c r="F44" t="n">
        <v>1</v>
      </c>
      <c r="G44" s="16" t="inlineStr">
        <is>
          <t>台積電(2330)</t>
        </is>
      </c>
      <c r="H44" s="33" t="n">
        <v>309108</v>
      </c>
      <c r="I44" s="233" t="n">
        <v>-0.0225</v>
      </c>
    </row>
    <row r="45">
      <c r="B45" t="n">
        <v>2</v>
      </c>
      <c r="C45" s="35" t="inlineStr">
        <is>
          <t>陳族元</t>
        </is>
      </c>
      <c r="D45" s="33" t="n">
        <v>929828</v>
      </c>
      <c r="E45" t="inlineStr">
        <is>
          <t>20.6%</t>
        </is>
      </c>
      <c r="F45" t="n">
        <v>2</v>
      </c>
      <c r="G45" s="16" t="inlineStr">
        <is>
          <t>聯發科(2454)</t>
        </is>
      </c>
      <c r="H45" s="33" t="n">
        <v>256864</v>
      </c>
      <c r="I45" s="233" t="n">
        <v>-0.009300000000000001</v>
      </c>
    </row>
    <row r="46">
      <c r="B46" t="n">
        <v>3</v>
      </c>
      <c r="C46" s="37" t="inlineStr">
        <is>
          <t>林滄海</t>
        </is>
      </c>
      <c r="D46" s="33" t="n">
        <v>545752</v>
      </c>
      <c r="E46" t="inlineStr">
        <is>
          <t>12.1%</t>
        </is>
      </c>
      <c r="F46" t="n">
        <v>3</v>
      </c>
      <c r="G46" s="16" t="inlineStr">
        <is>
          <t>信驊(5274)</t>
        </is>
      </c>
      <c r="H46" s="33" t="n">
        <v>124802</v>
      </c>
      <c r="I46" s="215" t="n">
        <v>0.0353</v>
      </c>
    </row>
    <row r="47">
      <c r="B47" t="n">
        <v>4</v>
      </c>
      <c r="C47" s="52" t="inlineStr">
        <is>
          <t>強森</t>
        </is>
      </c>
      <c r="D47" s="33" t="n">
        <v>377014</v>
      </c>
      <c r="E47" t="inlineStr">
        <is>
          <t>8.4%</t>
        </is>
      </c>
      <c r="F47" t="n">
        <v>4</v>
      </c>
      <c r="G47" s="16" t="inlineStr">
        <is>
          <t>光寶科(2301)</t>
        </is>
      </c>
      <c r="H47" s="33" t="n">
        <v>109982</v>
      </c>
      <c r="I47" s="215" t="n">
        <v>0.0483</v>
      </c>
    </row>
    <row r="48">
      <c r="B48" t="n">
        <v>5</v>
      </c>
      <c r="C48" s="36" t="inlineStr">
        <is>
          <t>陳律師</t>
        </is>
      </c>
      <c r="D48" s="33" t="n">
        <v>300626</v>
      </c>
      <c r="E48" t="inlineStr">
        <is>
          <t>6.7%</t>
        </is>
      </c>
      <c r="F48" t="n">
        <v>5</v>
      </c>
      <c r="G48" s="16" t="inlineStr">
        <is>
          <t>大立光(3008)</t>
        </is>
      </c>
      <c r="H48" s="33" t="n">
        <v>104668</v>
      </c>
      <c r="I48" s="215" t="n">
        <v>0.0303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16 檔新標的 (過去從沒買過)</t>
        </is>
      </c>
      <c r="F53" t="inlineStr">
        <is>
          <t>16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high</t>
        </is>
      </c>
      <c r="E54" s="40" t="inlineStr">
        <is>
          <t>強森 今日買進 16 檔新標的 (過去從沒買過)</t>
        </is>
      </c>
      <c r="F54" s="40" t="inlineStr">
        <is>
          <t>16 檔</t>
        </is>
      </c>
    </row>
    <row r="55">
      <c r="B55" t="inlineStr">
        <is>
          <t>🆕 新標的</t>
        </is>
      </c>
      <c r="C55" t="inlineStr">
        <is>
          <t>陳族元</t>
        </is>
      </c>
      <c r="D55" t="inlineStr">
        <is>
          <t>high</t>
        </is>
      </c>
      <c r="E55" t="inlineStr">
        <is>
          <t>陳族元 今日買進 14 檔新標的 (過去從沒買過)</t>
        </is>
      </c>
      <c r="F55" t="inlineStr">
        <is>
          <t>14 檔</t>
        </is>
      </c>
    </row>
    <row r="56">
      <c r="B56" s="40" t="inlineStr">
        <is>
          <t>🆕 新標的</t>
        </is>
      </c>
      <c r="C56" s="40" t="inlineStr">
        <is>
          <t>陳律師</t>
        </is>
      </c>
      <c r="D56" s="40" t="inlineStr">
        <is>
          <t>high</t>
        </is>
      </c>
      <c r="E56" s="40" t="inlineStr">
        <is>
          <t>陳律師 今日買進 13 檔新標的 (過去從沒買過)</t>
        </is>
      </c>
      <c r="F56" s="40" t="inlineStr">
        <is>
          <t>13 檔</t>
        </is>
      </c>
    </row>
    <row r="57">
      <c r="B57" t="inlineStr">
        <is>
          <t>🆕 新標的</t>
        </is>
      </c>
      <c r="C57" t="inlineStr">
        <is>
          <t>蔣承翰</t>
        </is>
      </c>
      <c r="D57" t="inlineStr">
        <is>
          <t>high</t>
        </is>
      </c>
      <c r="E57" t="inlineStr">
        <is>
          <t>蔣承翰 今日買進 11 檔新標的 (過去從沒買過)</t>
        </is>
      </c>
      <c r="F57" t="inlineStr">
        <is>
          <t>11 檔</t>
        </is>
      </c>
    </row>
    <row r="58">
      <c r="B58" s="40" t="inlineStr">
        <is>
          <t>🆕 新標的</t>
        </is>
      </c>
      <c r="C58" s="40" t="inlineStr">
        <is>
          <t>林滄海</t>
        </is>
      </c>
      <c r="D58" s="40" t="inlineStr">
        <is>
          <t>high</t>
        </is>
      </c>
      <c r="E58" s="40" t="inlineStr">
        <is>
          <t>林滄海 今日買進 10 檔新標的 (過去從沒買過)</t>
        </is>
      </c>
      <c r="F58" s="40" t="inlineStr">
        <is>
          <t>10 檔</t>
        </is>
      </c>
    </row>
    <row r="59">
      <c r="B59" t="inlineStr">
        <is>
          <t>🆕 新標的</t>
        </is>
      </c>
      <c r="C59" t="inlineStr">
        <is>
          <t>民哥</t>
        </is>
      </c>
      <c r="D59" t="inlineStr">
        <is>
          <t>high</t>
        </is>
      </c>
      <c r="E59" t="inlineStr">
        <is>
          <t>民哥 今日買進 10 檔新標的 (過去從沒買過)</t>
        </is>
      </c>
      <c r="F59" t="inlineStr">
        <is>
          <t>10 檔</t>
        </is>
      </c>
    </row>
    <row r="60">
      <c r="B60" s="40" t="inlineStr">
        <is>
          <t>🆕 新標的</t>
        </is>
      </c>
      <c r="C60" s="40" t="inlineStr">
        <is>
          <t>Tradow</t>
        </is>
      </c>
      <c r="D60" s="40" t="inlineStr">
        <is>
          <t>high</t>
        </is>
      </c>
      <c r="E60" s="40" t="inlineStr">
        <is>
          <t>Tradow 今日買進 9 檔新標的 (過去從沒買過)</t>
        </is>
      </c>
      <c r="F60" s="40" t="inlineStr">
        <is>
          <t>9 檔</t>
        </is>
      </c>
    </row>
    <row r="61">
      <c r="B61" t="inlineStr">
        <is>
          <t>🆕 新標的</t>
        </is>
      </c>
      <c r="C61" t="inlineStr">
        <is>
          <t>迷你哥/松山哥</t>
        </is>
      </c>
      <c r="D61" t="inlineStr">
        <is>
          <t>high</t>
        </is>
      </c>
      <c r="E61" t="inlineStr">
        <is>
          <t>迷你哥/松山哥 今日買進 8 檔新標的 (過去從沒買過)</t>
        </is>
      </c>
      <c r="F61" t="inlineStr">
        <is>
          <t>8 檔</t>
        </is>
      </c>
    </row>
    <row r="62">
      <c r="B62" s="40" t="inlineStr">
        <is>
          <t>🆕 新標的</t>
        </is>
      </c>
      <c r="C62" s="40" t="inlineStr">
        <is>
          <t>巨人傑</t>
        </is>
      </c>
      <c r="D62" s="40" t="inlineStr">
        <is>
          <t>high</t>
        </is>
      </c>
      <c r="E62" s="40" t="inlineStr">
        <is>
          <t>巨人傑 今日買進 7 檔新標的 (過去從沒買過)</t>
        </is>
      </c>
      <c r="F62" s="40" t="inlineStr">
        <is>
          <t>7 檔</t>
        </is>
      </c>
    </row>
    <row r="63">
      <c r="B63" s="41" t="inlineStr">
        <is>
          <t>… 另 7 筆 anomaly (詳見當日 sheet)</t>
        </is>
      </c>
      <c r="C63" s="42" t="n"/>
      <c r="D63" s="42" t="n"/>
      <c r="E63" s="42" t="n"/>
      <c r="F63" s="42" t="n"/>
    </row>
    <row r="65" ht="22" customHeight="1">
      <c r="B65" s="43" t="inlineStr">
        <is>
          <t>▍ F. 跨日連續囤貨 Top 30 (按連續天數排序)</t>
        </is>
      </c>
    </row>
    <row r="66">
      <c r="B66" s="44" t="inlineStr">
        <is>
          <t>Master</t>
        </is>
      </c>
      <c r="C66" s="44" t="inlineStr">
        <is>
          <t>股票代號</t>
        </is>
      </c>
      <c r="D66" s="44" t="inlineStr">
        <is>
          <t>連續天數</t>
        </is>
      </c>
      <c r="E66" s="44" t="inlineStr">
        <is>
          <t>累計買金額(萬)</t>
        </is>
      </c>
      <c r="F66" s="44" t="inlineStr">
        <is>
          <t>說明</t>
        </is>
      </c>
    </row>
    <row r="67">
      <c r="B67" t="inlineStr">
        <is>
          <t>🔴 陳族元</t>
        </is>
      </c>
      <c r="C67" t="inlineStr">
        <is>
          <t>3008</t>
        </is>
      </c>
      <c r="D67" s="45" t="n">
        <v>24</v>
      </c>
      <c r="E67" t="n">
        <v>1131928</v>
      </c>
      <c r="F67" t="inlineStr">
        <is>
          <t>陳族元 連續 24 天加碼 3008 (累計 1,131,928 萬)</t>
        </is>
      </c>
    </row>
    <row r="68">
      <c r="B68" s="40" t="inlineStr">
        <is>
          <t>🔴 張濬安(航海王)</t>
        </is>
      </c>
      <c r="C68" s="40" t="inlineStr">
        <is>
          <t>3017</t>
        </is>
      </c>
      <c r="D68" s="46" t="n">
        <v>24</v>
      </c>
      <c r="E68" s="40" t="n">
        <v>771969</v>
      </c>
      <c r="F68" s="40" t="inlineStr">
        <is>
          <t>張濬安(航海王) 連續 24 天加碼 3017 (累計 771,969 萬)</t>
        </is>
      </c>
    </row>
    <row r="69">
      <c r="B69" t="inlineStr">
        <is>
          <t>🔴 強森</t>
        </is>
      </c>
      <c r="C69" t="inlineStr">
        <is>
          <t>2308</t>
        </is>
      </c>
      <c r="D69" s="45" t="n">
        <v>24</v>
      </c>
      <c r="E69" t="n">
        <v>218835</v>
      </c>
      <c r="F69" t="inlineStr">
        <is>
          <t>強森 連續 24 天加碼 2308 (累計 218,835 萬)</t>
        </is>
      </c>
    </row>
    <row r="70">
      <c r="B70" s="40" t="inlineStr">
        <is>
          <t>🔴 蔣承翰</t>
        </is>
      </c>
      <c r="C70" s="40" t="inlineStr">
        <is>
          <t>2884</t>
        </is>
      </c>
      <c r="D70" s="46" t="n">
        <v>24</v>
      </c>
      <c r="E70" s="40" t="n">
        <v>184607</v>
      </c>
      <c r="F70" s="40" t="inlineStr">
        <is>
          <t>蔣承翰 連續 24 天加碼 2884 (累計 184,607 萬)</t>
        </is>
      </c>
    </row>
    <row r="71">
      <c r="B71" t="inlineStr">
        <is>
          <t>🔴 強森</t>
        </is>
      </c>
      <c r="C71" t="inlineStr">
        <is>
          <t>8299</t>
        </is>
      </c>
      <c r="D71" s="45" t="n">
        <v>23</v>
      </c>
      <c r="E71" t="n">
        <v>120518</v>
      </c>
      <c r="F71" t="inlineStr">
        <is>
          <t>強森 連續 23 天加碼 8299 (累計 120,518 萬)</t>
        </is>
      </c>
    </row>
    <row r="72">
      <c r="B72" s="40" t="inlineStr">
        <is>
          <t>🔴 迷你哥/松山哥</t>
        </is>
      </c>
      <c r="C72" s="40" t="inlineStr">
        <is>
          <t>2308</t>
        </is>
      </c>
      <c r="D72" s="46" t="n">
        <v>21</v>
      </c>
      <c r="E72" s="40" t="n">
        <v>1190032</v>
      </c>
      <c r="F72" s="40" t="inlineStr">
        <is>
          <t>迷你哥/松山哥 連續 21 天加碼 2308 (累計 1,190,032 萬)</t>
        </is>
      </c>
    </row>
    <row r="74" ht="22" customHeight="1">
      <c r="B74" s="47" t="inlineStr">
        <is>
          <t>▍ J. Master × Top 3 個股 cross-table (今日)</t>
        </is>
      </c>
    </row>
    <row r="75">
      <c r="B75" s="48" t="inlineStr">
        <is>
          <t>Master</t>
        </is>
      </c>
      <c r="C75" s="48" t="inlineStr">
        <is>
          <t>今日總買(萬)</t>
        </is>
      </c>
      <c r="D75" s="48" t="inlineStr">
        <is>
          <t>Top1 個股</t>
        </is>
      </c>
      <c r="E75" s="48" t="inlineStr">
        <is>
          <t>Top1 金額</t>
        </is>
      </c>
      <c r="F75" s="48" t="inlineStr">
        <is>
          <t>Top2 個股</t>
        </is>
      </c>
      <c r="G75" s="48" t="inlineStr">
        <is>
          <t>Top2 金額</t>
        </is>
      </c>
      <c r="H75" s="48" t="inlineStr">
        <is>
          <t>Top3 個股</t>
        </is>
      </c>
      <c r="I75" s="48" t="inlineStr">
        <is>
          <t>Top3 金額</t>
        </is>
      </c>
      <c r="J75" s="48" t="inlineStr">
        <is>
          <t>Top3 合計%</t>
        </is>
      </c>
    </row>
    <row r="76">
      <c r="B76" s="32" t="inlineStr">
        <is>
          <t>張濬安(航海王)</t>
        </is>
      </c>
      <c r="C76" s="33" t="n">
        <v>1021591</v>
      </c>
      <c r="D76" t="inlineStr">
        <is>
          <t>聯發科(2454)</t>
        </is>
      </c>
      <c r="E76" s="33" t="n">
        <v>171178</v>
      </c>
      <c r="F76" t="inlineStr">
        <is>
          <t>貿聯-KY(3665)</t>
        </is>
      </c>
      <c r="G76" s="33" t="n">
        <v>72709</v>
      </c>
      <c r="H76" t="inlineStr">
        <is>
          <t>欣興(3037)</t>
        </is>
      </c>
      <c r="I76" s="33" t="n">
        <v>57518</v>
      </c>
      <c r="J76" s="216" t="n">
        <v>0.295034233870202</v>
      </c>
    </row>
    <row r="77">
      <c r="B77" s="35" t="inlineStr">
        <is>
          <t>陳族元</t>
        </is>
      </c>
      <c r="C77" s="33" t="n">
        <v>877076</v>
      </c>
      <c r="D77" t="inlineStr">
        <is>
          <t>光寶科(2301)</t>
        </is>
      </c>
      <c r="E77" s="33" t="n">
        <v>92814</v>
      </c>
      <c r="F77" t="inlineStr">
        <is>
          <t>景碩(3189)</t>
        </is>
      </c>
      <c r="G77" s="33" t="n">
        <v>85272</v>
      </c>
      <c r="H77" t="inlineStr">
        <is>
          <t>精測(6510)</t>
        </is>
      </c>
      <c r="I77" s="33" t="n">
        <v>76726</v>
      </c>
      <c r="J77" s="216" t="n">
        <v>0.2905248472737998</v>
      </c>
    </row>
    <row r="78">
      <c r="B78" s="37" t="inlineStr">
        <is>
          <t>林滄海</t>
        </is>
      </c>
      <c r="C78" s="33" t="n">
        <v>525239</v>
      </c>
      <c r="D78" t="inlineStr">
        <is>
          <t>台積電(2330)</t>
        </is>
      </c>
      <c r="E78" s="33" t="n">
        <v>102161</v>
      </c>
      <c r="F78" t="inlineStr">
        <is>
          <t>聯發科(2454)</t>
        </is>
      </c>
      <c r="G78" s="33" t="n">
        <v>89044</v>
      </c>
      <c r="H78" t="inlineStr">
        <is>
          <t>信驊(5274)</t>
        </is>
      </c>
      <c r="I78" s="33" t="n">
        <v>54267</v>
      </c>
      <c r="J78" s="216" t="n">
        <v>0.4673537955219217</v>
      </c>
    </row>
    <row r="79">
      <c r="B79" s="52" t="inlineStr">
        <is>
          <t>強森</t>
        </is>
      </c>
      <c r="C79" s="33" t="n">
        <v>351207</v>
      </c>
      <c r="D79" t="inlineStr">
        <is>
          <t>聯發科(2454)</t>
        </is>
      </c>
      <c r="E79" s="33" t="n">
        <v>72887</v>
      </c>
      <c r="F79" t="inlineStr">
        <is>
          <t>台積電(2330)</t>
        </is>
      </c>
      <c r="G79" s="33" t="n">
        <v>50838</v>
      </c>
      <c r="H79" t="inlineStr">
        <is>
          <t>穩懋(3105)</t>
        </is>
      </c>
      <c r="I79" s="33" t="n">
        <v>21734</v>
      </c>
      <c r="J79" s="216" t="n">
        <v>0.4141687829381678</v>
      </c>
    </row>
    <row r="80">
      <c r="B80" s="36" t="inlineStr">
        <is>
          <t>陳律師</t>
        </is>
      </c>
      <c r="C80" s="33" t="n">
        <v>290246</v>
      </c>
      <c r="D80" t="inlineStr">
        <is>
          <t>雙鴻(3324)</t>
        </is>
      </c>
      <c r="E80" s="33" t="n">
        <v>50348</v>
      </c>
      <c r="F80" t="inlineStr">
        <is>
          <t>台積電(2330)</t>
        </is>
      </c>
      <c r="G80" s="33" t="n">
        <v>43407</v>
      </c>
      <c r="H80" t="inlineStr">
        <is>
          <t>光寶科(2301)</t>
        </is>
      </c>
      <c r="I80" s="33" t="n">
        <v>29243</v>
      </c>
      <c r="J80" s="216" t="n">
        <v>0.4237708292778724</v>
      </c>
    </row>
    <row r="81">
      <c r="B81" s="54" t="inlineStr">
        <is>
          <t>民哥</t>
        </is>
      </c>
      <c r="C81" s="33" t="n">
        <v>235606</v>
      </c>
      <c r="D81" t="inlineStr">
        <is>
          <t>大立光(3008)</t>
        </is>
      </c>
      <c r="E81" s="33" t="n">
        <v>65266</v>
      </c>
      <c r="F81" t="inlineStr">
        <is>
          <t>聯發科(2454)</t>
        </is>
      </c>
      <c r="G81" s="33" t="n">
        <v>42503</v>
      </c>
      <c r="H81" t="inlineStr">
        <is>
          <t>創意(3443)</t>
        </is>
      </c>
      <c r="I81" s="33" t="n">
        <v>26315</v>
      </c>
      <c r="J81" s="216" t="n">
        <v>0.5691017468980019</v>
      </c>
    </row>
    <row r="82">
      <c r="B82" s="38" t="inlineStr">
        <is>
          <t>蔣承翰</t>
        </is>
      </c>
      <c r="C82" s="33" t="n">
        <v>201173</v>
      </c>
      <c r="D82" t="inlineStr">
        <is>
          <t>亞光(3019)</t>
        </is>
      </c>
      <c r="E82" s="33" t="n">
        <v>13363</v>
      </c>
      <c r="F82" t="inlineStr">
        <is>
          <t>富喬(1815)</t>
        </is>
      </c>
      <c r="G82" s="33" t="n">
        <v>13310</v>
      </c>
      <c r="H82" t="inlineStr">
        <is>
          <t>台達電(2308)</t>
        </is>
      </c>
      <c r="I82" s="33" t="n">
        <v>9638</v>
      </c>
      <c r="J82" s="216" t="n">
        <v>0.1804927708843053</v>
      </c>
    </row>
    <row r="83">
      <c r="B83" s="53" t="inlineStr">
        <is>
          <t>竹科主力分點</t>
        </is>
      </c>
      <c r="C83" s="33" t="n">
        <v>192066</v>
      </c>
      <c r="D83" t="inlineStr">
        <is>
          <t>聯發科(2454)</t>
        </is>
      </c>
      <c r="E83" s="33" t="n">
        <v>38102</v>
      </c>
      <c r="F83" t="inlineStr">
        <is>
          <t>台積電(2330)</t>
        </is>
      </c>
      <c r="G83" s="33" t="n">
        <v>20604</v>
      </c>
      <c r="H83" t="inlineStr">
        <is>
          <t>緯穎(6669)</t>
        </is>
      </c>
      <c r="I83" s="33" t="n">
        <v>18993</v>
      </c>
      <c r="J83" s="216" t="n">
        <v>0.404544791894453</v>
      </c>
    </row>
    <row r="84">
      <c r="B84" s="55" t="inlineStr">
        <is>
          <t>布哥/n_nchang</t>
        </is>
      </c>
      <c r="C84" s="33" t="n">
        <v>126115</v>
      </c>
      <c r="D84" t="inlineStr">
        <is>
          <t>全新(2455)</t>
        </is>
      </c>
      <c r="E84" s="33" t="n">
        <v>21885</v>
      </c>
      <c r="F84" t="inlineStr">
        <is>
          <t>大立光(3008)</t>
        </is>
      </c>
      <c r="G84" s="33" t="n">
        <v>16687</v>
      </c>
      <c r="H84" t="inlineStr">
        <is>
          <t>富喬(1815)</t>
        </is>
      </c>
      <c r="I84" s="33" t="n">
        <v>10805</v>
      </c>
      <c r="J84" s="216" t="n">
        <v>0.3915272635869931</v>
      </c>
    </row>
    <row r="85">
      <c r="B85" s="50" t="inlineStr">
        <is>
          <t>巨人傑</t>
        </is>
      </c>
      <c r="C85" s="33" t="n">
        <v>105464</v>
      </c>
      <c r="D85" t="inlineStr">
        <is>
          <t>聯發科(2454)</t>
        </is>
      </c>
      <c r="E85" s="33" t="n">
        <v>44067</v>
      </c>
      <c r="F85" t="inlineStr">
        <is>
          <t>緯穎(6669)</t>
        </is>
      </c>
      <c r="G85" s="33" t="n">
        <v>6487</v>
      </c>
      <c r="H85" t="inlineStr">
        <is>
          <t>國巨*(2327)</t>
        </is>
      </c>
      <c r="I85" s="33" t="n">
        <v>4414</v>
      </c>
      <c r="J85" s="216" t="n">
        <v>0.5212029496293051</v>
      </c>
    </row>
    <row r="86">
      <c r="B86" s="56" t="inlineStr">
        <is>
          <t>大牌分析師</t>
        </is>
      </c>
      <c r="C86" s="33" t="n">
        <v>83769</v>
      </c>
      <c r="D86" t="inlineStr">
        <is>
          <t>聯發科(2454)</t>
        </is>
      </c>
      <c r="E86" s="33" t="n">
        <v>11967</v>
      </c>
      <c r="F86" t="inlineStr">
        <is>
          <t>台積電(2330)</t>
        </is>
      </c>
      <c r="G86" s="33" t="n">
        <v>8772</v>
      </c>
      <c r="H86" t="inlineStr">
        <is>
          <t>欣興(3037)</t>
        </is>
      </c>
      <c r="I86" s="33" t="n">
        <v>5242</v>
      </c>
      <c r="J86" s="216" t="n">
        <v>0.3101406957671894</v>
      </c>
    </row>
    <row r="87">
      <c r="B87" s="57" t="inlineStr">
        <is>
          <t>Tradow</t>
        </is>
      </c>
      <c r="C87" s="33" t="n">
        <v>65012</v>
      </c>
      <c r="D87" t="inlineStr">
        <is>
          <t>台積電(2330)</t>
        </is>
      </c>
      <c r="E87" s="33" t="n">
        <v>6366</v>
      </c>
      <c r="F87" t="inlineStr">
        <is>
          <t>南亞(1303)</t>
        </is>
      </c>
      <c r="G87" s="33" t="n">
        <v>6040</v>
      </c>
      <c r="H87" t="inlineStr">
        <is>
          <t>聯發科(2454)</t>
        </is>
      </c>
      <c r="I87" s="33" t="n">
        <v>5364</v>
      </c>
      <c r="J87" s="216" t="n">
        <v>0.2733268832321467</v>
      </c>
    </row>
    <row r="88">
      <c r="B88" s="58" t="inlineStr">
        <is>
          <t>迷你哥/松山哥</t>
        </is>
      </c>
      <c r="C88" s="33" t="n">
        <v>34431</v>
      </c>
      <c r="D88" t="inlineStr">
        <is>
          <t>台積電(2330)</t>
        </is>
      </c>
      <c r="E88" s="33" t="n">
        <v>4745</v>
      </c>
      <c r="F88" t="inlineStr">
        <is>
          <t>欣興(3037)</t>
        </is>
      </c>
      <c r="G88" s="33" t="n">
        <v>3474</v>
      </c>
      <c r="H88" t="inlineStr">
        <is>
          <t>南亞科(2408)</t>
        </is>
      </c>
      <c r="I88" s="33" t="n">
        <v>2832</v>
      </c>
      <c r="J88" s="216" t="n">
        <v>0.320959829921205</v>
      </c>
    </row>
    <row r="90" ht="22" customHeight="1">
      <c r="B90" s="59" t="inlineStr">
        <is>
          <t>▍ G. 注意股 (資料日 20260903)</t>
        </is>
      </c>
    </row>
    <row r="91">
      <c r="B91" s="60" t="inlineStr">
        <is>
          <t>代號</t>
        </is>
      </c>
      <c r="C91" s="60" t="inlineStr">
        <is>
          <t>名稱</t>
        </is>
      </c>
      <c r="D91" s="60" t="inlineStr">
        <is>
          <t>累計次數</t>
        </is>
      </c>
      <c r="E91" s="60" t="inlineStr">
        <is>
          <t>收盤價</t>
        </is>
      </c>
      <c r="F91" s="60" t="inlineStr">
        <is>
          <t>本益比</t>
        </is>
      </c>
    </row>
    <row r="92">
      <c r="B92" s="61" t="inlineStr">
        <is>
          <t>✅ 今日無新增注意股 (市場無異常波動標的)</t>
        </is>
      </c>
    </row>
    <row r="94" ht="22" customHeight="1">
      <c r="B94" s="4" t="inlineStr">
        <is>
          <t>▍ H. 借券賣出 Top 15 (機構級反向力量, 資料日 20260902)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00685L</t>
        </is>
      </c>
      <c r="C96" t="inlineStr">
        <is>
          <t>群益臺灣加權正2</t>
        </is>
      </c>
      <c r="D96" s="33" t="n">
        <v>30217</v>
      </c>
      <c r="E96" s="33" t="n">
        <v>521</v>
      </c>
      <c r="F96" s="218" t="n">
        <v>58</v>
      </c>
    </row>
    <row r="97">
      <c r="B97" s="40" t="inlineStr">
        <is>
          <t>2887</t>
        </is>
      </c>
      <c r="C97" s="40" t="inlineStr">
        <is>
          <t>台新新光金</t>
        </is>
      </c>
      <c r="D97" s="63" t="n">
        <v>16341</v>
      </c>
      <c r="E97" s="63" t="n">
        <v>69</v>
      </c>
      <c r="F97" s="219" t="n">
        <v>236.83</v>
      </c>
    </row>
    <row r="98">
      <c r="B98" t="inlineStr">
        <is>
          <t>00712</t>
        </is>
      </c>
      <c r="C98" t="inlineStr">
        <is>
          <t>復華富時不動產</t>
        </is>
      </c>
      <c r="D98" s="33" t="n">
        <v>7743</v>
      </c>
      <c r="E98" s="33" t="n">
        <v>0</v>
      </c>
      <c r="F98" t="inlineStr">
        <is>
          <t>—</t>
        </is>
      </c>
    </row>
    <row r="99">
      <c r="B99" s="40" t="inlineStr">
        <is>
          <t>00673R</t>
        </is>
      </c>
      <c r="C99" s="40" t="inlineStr">
        <is>
          <t>期元大S&amp;P原油反1</t>
        </is>
      </c>
      <c r="D99" s="63" t="n">
        <v>6645</v>
      </c>
      <c r="E99" s="63" t="n">
        <v>5000</v>
      </c>
      <c r="F99" s="219" t="n">
        <v>1.33</v>
      </c>
    </row>
    <row r="100">
      <c r="B100" t="inlineStr">
        <is>
          <t>2883</t>
        </is>
      </c>
      <c r="C100" t="inlineStr">
        <is>
          <t>凱基金</t>
        </is>
      </c>
      <c r="D100" s="33" t="n">
        <v>6239</v>
      </c>
      <c r="E100" s="33" t="n">
        <v>48</v>
      </c>
      <c r="F100" s="218" t="n">
        <v>129.98</v>
      </c>
    </row>
    <row r="101">
      <c r="B101" s="40" t="inlineStr">
        <is>
          <t>00918</t>
        </is>
      </c>
      <c r="C101" s="40" t="inlineStr">
        <is>
          <t>大華優利高填息30</t>
        </is>
      </c>
      <c r="D101" s="63" t="n">
        <v>6004</v>
      </c>
      <c r="E101" s="63" t="n">
        <v>0</v>
      </c>
      <c r="F101" s="40" t="inlineStr">
        <is>
          <t>—</t>
        </is>
      </c>
    </row>
    <row r="102">
      <c r="B102" t="inlineStr">
        <is>
          <t>2801</t>
        </is>
      </c>
      <c r="C102" t="inlineStr">
        <is>
          <t>彰銀</t>
        </is>
      </c>
      <c r="D102" s="33" t="n">
        <v>4623</v>
      </c>
      <c r="E102" s="33" t="n">
        <v>11</v>
      </c>
      <c r="F102" s="218" t="n">
        <v>420.27</v>
      </c>
    </row>
    <row r="103">
      <c r="B103" s="40" t="inlineStr">
        <is>
          <t>3481</t>
        </is>
      </c>
      <c r="C103" s="40" t="inlineStr">
        <is>
          <t>群創</t>
        </is>
      </c>
      <c r="D103" s="63" t="n">
        <v>4265</v>
      </c>
      <c r="E103" s="63" t="n">
        <v>324</v>
      </c>
      <c r="F103" s="219" t="n">
        <v>13.16</v>
      </c>
    </row>
    <row r="104">
      <c r="B104" t="inlineStr">
        <is>
          <t>00919</t>
        </is>
      </c>
      <c r="C104" t="inlineStr">
        <is>
          <t>群益台灣精選高息</t>
        </is>
      </c>
      <c r="D104" s="33" t="n">
        <v>4195</v>
      </c>
      <c r="E104" s="33" t="n">
        <v>7</v>
      </c>
      <c r="F104" s="218" t="n">
        <v>599.29</v>
      </c>
    </row>
    <row r="105">
      <c r="B105" s="40" t="inlineStr">
        <is>
          <t>1714</t>
        </is>
      </c>
      <c r="C105" s="40" t="inlineStr">
        <is>
          <t>和桐</t>
        </is>
      </c>
      <c r="D105" s="63" t="n">
        <v>4177</v>
      </c>
      <c r="E105" s="63" t="n">
        <v>104</v>
      </c>
      <c r="F105" s="219" t="n">
        <v>40.16</v>
      </c>
    </row>
    <row r="106">
      <c r="B106" t="inlineStr">
        <is>
          <t>2327</t>
        </is>
      </c>
      <c r="C106" t="inlineStr">
        <is>
          <t>國巨*</t>
        </is>
      </c>
      <c r="D106" s="33" t="n">
        <v>4078</v>
      </c>
      <c r="E106" s="33" t="n">
        <v>53</v>
      </c>
      <c r="F106" s="218" t="n">
        <v>76.94</v>
      </c>
    </row>
    <row r="107">
      <c r="B107" s="40" t="inlineStr">
        <is>
          <t>2890</t>
        </is>
      </c>
      <c r="C107" s="40" t="inlineStr">
        <is>
          <t>永豐金</t>
        </is>
      </c>
      <c r="D107" s="63" t="n">
        <v>4043</v>
      </c>
      <c r="E107" s="63" t="n">
        <v>17</v>
      </c>
      <c r="F107" s="219" t="n">
        <v>237.82</v>
      </c>
    </row>
    <row r="108">
      <c r="B108" s="45" t="inlineStr">
        <is>
          <t>🔴 2002</t>
        </is>
      </c>
      <c r="C108" t="inlineStr">
        <is>
          <t>中鋼</t>
        </is>
      </c>
      <c r="D108" s="33" t="n">
        <v>3921</v>
      </c>
      <c r="E108" s="33" t="n">
        <v>2</v>
      </c>
      <c r="F108" s="246" t="n">
        <v>1960.5</v>
      </c>
    </row>
    <row r="109">
      <c r="B109" s="40" t="inlineStr">
        <is>
          <t>00403A</t>
        </is>
      </c>
      <c r="C109" s="40" t="inlineStr">
        <is>
          <t>主動統一升級50</t>
        </is>
      </c>
      <c r="D109" s="63" t="n">
        <v>3651</v>
      </c>
      <c r="E109" s="63" t="n">
        <v>165</v>
      </c>
      <c r="F109" s="219" t="n">
        <v>22.13</v>
      </c>
    </row>
    <row r="110">
      <c r="B110" t="inlineStr">
        <is>
          <t>2880</t>
        </is>
      </c>
      <c r="C110" t="inlineStr">
        <is>
          <t>華南金</t>
        </is>
      </c>
      <c r="D110" s="33" t="n">
        <v>3364</v>
      </c>
      <c r="E110" s="33" t="n">
        <v>47</v>
      </c>
      <c r="F110" s="218" t="n">
        <v>71.56999999999999</v>
      </c>
    </row>
    <row r="112" ht="22" customHeight="1">
      <c r="B112" s="65" t="inlineStr">
        <is>
          <t>▍ I. 未來 30 天除權息 (有效 77 檔, 已剔除過期)</t>
        </is>
      </c>
    </row>
    <row r="113">
      <c r="B113" s="60" t="inlineStr">
        <is>
          <t>除權息日</t>
        </is>
      </c>
      <c r="C113" s="60" t="inlineStr">
        <is>
          <t>代號</t>
        </is>
      </c>
      <c r="D113" s="60" t="inlineStr">
        <is>
          <t>名稱</t>
        </is>
      </c>
      <c r="E113" s="60" t="inlineStr">
        <is>
          <t>類型</t>
        </is>
      </c>
      <c r="F113" s="60" t="inlineStr">
        <is>
          <t>現金股利</t>
        </is>
      </c>
    </row>
    <row r="114">
      <c r="B114" t="inlineStr">
        <is>
          <t>20260903</t>
        </is>
      </c>
      <c r="C114" t="inlineStr">
        <is>
          <t>1203</t>
        </is>
      </c>
      <c r="D114" t="inlineStr">
        <is>
          <t>味王</t>
        </is>
      </c>
      <c r="E114" t="inlineStr">
        <is>
          <t>息</t>
        </is>
      </c>
      <c r="F114" t="n">
        <v>1</v>
      </c>
    </row>
    <row r="115">
      <c r="B115" s="40" t="inlineStr">
        <is>
          <t>20260903</t>
        </is>
      </c>
      <c r="C115" s="40" t="inlineStr">
        <is>
          <t>3661</t>
        </is>
      </c>
      <c r="D115" s="40" t="inlineStr">
        <is>
          <t>世芯-KY</t>
        </is>
      </c>
      <c r="E115" s="40" t="inlineStr">
        <is>
          <t>息</t>
        </is>
      </c>
      <c r="F115" s="40" t="n">
        <v>32.551656</v>
      </c>
    </row>
    <row r="116">
      <c r="B116" t="inlineStr">
        <is>
          <t>20260903</t>
        </is>
      </c>
      <c r="C116" t="inlineStr">
        <is>
          <t>7780</t>
        </is>
      </c>
      <c r="D116" t="inlineStr">
        <is>
          <t>大研生醫*</t>
        </is>
      </c>
      <c r="E116" t="inlineStr">
        <is>
          <t>息</t>
        </is>
      </c>
      <c r="F116" t="n">
        <v>0.116588</v>
      </c>
    </row>
    <row r="117">
      <c r="B117" s="40" t="inlineStr">
        <is>
          <t>20260903</t>
        </is>
      </c>
      <c r="C117" s="40" t="inlineStr">
        <is>
          <t>8466</t>
        </is>
      </c>
      <c r="D117" s="40" t="inlineStr">
        <is>
          <t>美吉吉-KY</t>
        </is>
      </c>
      <c r="E117" s="40" t="inlineStr">
        <is>
          <t>息</t>
        </is>
      </c>
      <c r="F117" s="40" t="n">
        <v>0.301938</v>
      </c>
    </row>
    <row r="118">
      <c r="B118" t="inlineStr">
        <is>
          <t>20260907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0" t="inlineStr">
        <is>
          <t>20260907</t>
        </is>
      </c>
      <c r="C119" s="40" t="inlineStr">
        <is>
          <t>01010T</t>
        </is>
      </c>
      <c r="D119" s="40" t="inlineStr">
        <is>
          <t>京城樂富R1</t>
        </is>
      </c>
      <c r="E119" s="40" t="inlineStr">
        <is>
          <t>息</t>
        </is>
      </c>
      <c r="F119" s="40" t="n">
        <v>0.09872</v>
      </c>
    </row>
    <row r="120">
      <c r="B120" t="inlineStr">
        <is>
          <t>20260907</t>
        </is>
      </c>
      <c r="C120" t="inlineStr">
        <is>
          <t>1466</t>
        </is>
      </c>
      <c r="D120" t="inlineStr">
        <is>
          <t>聚隆</t>
        </is>
      </c>
      <c r="E120" t="inlineStr">
        <is>
          <t>息</t>
        </is>
      </c>
      <c r="F120" t="n">
        <v>0.2</v>
      </c>
    </row>
    <row r="121">
      <c r="B121" s="40" t="inlineStr">
        <is>
          <t>20260907</t>
        </is>
      </c>
      <c r="C121" s="40" t="inlineStr">
        <is>
          <t>6533</t>
        </is>
      </c>
      <c r="D121" s="40" t="inlineStr">
        <is>
          <t>晶心科</t>
        </is>
      </c>
      <c r="E121" s="40" t="inlineStr">
        <is>
          <t>權</t>
        </is>
      </c>
      <c r="F121" s="40" t="n">
        <v>0</v>
      </c>
    </row>
    <row r="122">
      <c r="B122" t="inlineStr">
        <is>
          <t>20260908</t>
        </is>
      </c>
      <c r="C122" t="inlineStr">
        <is>
          <t>00940</t>
        </is>
      </c>
      <c r="D122" t="inlineStr">
        <is>
          <t>元大台灣價值高息</t>
        </is>
      </c>
      <c r="E122" t="inlineStr">
        <is>
          <t>息</t>
        </is>
      </c>
    </row>
    <row r="123">
      <c r="B123" s="40" t="inlineStr">
        <is>
          <t>20260908</t>
        </is>
      </c>
      <c r="C123" s="40" t="inlineStr">
        <is>
          <t>2379</t>
        </is>
      </c>
      <c r="D123" s="40" t="inlineStr">
        <is>
          <t>瑞昱</t>
        </is>
      </c>
      <c r="E123" s="40" t="inlineStr">
        <is>
          <t>息</t>
        </is>
      </c>
      <c r="F123" s="40" t="n">
        <v>25</v>
      </c>
    </row>
    <row r="124">
      <c r="B124" t="inlineStr">
        <is>
          <t>20260908</t>
        </is>
      </c>
      <c r="C124" t="inlineStr">
        <is>
          <t>2442</t>
        </is>
      </c>
      <c r="D124" t="inlineStr">
        <is>
          <t>新美齊</t>
        </is>
      </c>
      <c r="E124" t="inlineStr">
        <is>
          <t>權息</t>
        </is>
      </c>
      <c r="F124" t="n">
        <v>2.031861</v>
      </c>
    </row>
    <row r="125">
      <c r="B125" s="40" t="inlineStr">
        <is>
          <t>20260908</t>
        </is>
      </c>
      <c r="C125" s="40" t="inlineStr">
        <is>
          <t>2706</t>
        </is>
      </c>
      <c r="D125" s="40" t="inlineStr">
        <is>
          <t>第一店</t>
        </is>
      </c>
      <c r="E125" s="40" t="inlineStr">
        <is>
          <t>息</t>
        </is>
      </c>
      <c r="F125" s="40" t="n">
        <v>0.35</v>
      </c>
    </row>
    <row r="126">
      <c r="B126" t="inlineStr">
        <is>
          <t>20260908</t>
        </is>
      </c>
      <c r="C126" t="inlineStr">
        <is>
          <t>3312</t>
        </is>
      </c>
      <c r="D126" t="inlineStr">
        <is>
          <t>弘憶股</t>
        </is>
      </c>
      <c r="E126" t="inlineStr">
        <is>
          <t>息</t>
        </is>
      </c>
      <c r="F126" t="n">
        <v>1.3</v>
      </c>
    </row>
    <row r="127">
      <c r="B127" s="40" t="inlineStr">
        <is>
          <t>20260908</t>
        </is>
      </c>
      <c r="C127" s="40" t="inlineStr">
        <is>
          <t>3622</t>
        </is>
      </c>
      <c r="D127" s="40" t="inlineStr">
        <is>
          <t>洋華</t>
        </is>
      </c>
      <c r="E127" s="40" t="inlineStr">
        <is>
          <t>息</t>
        </is>
      </c>
      <c r="F127" s="40" t="n">
        <v>3.2</v>
      </c>
    </row>
    <row r="128">
      <c r="B128" t="inlineStr">
        <is>
          <t>20260908</t>
        </is>
      </c>
      <c r="C128" t="inlineStr">
        <is>
          <t>8473</t>
        </is>
      </c>
      <c r="D128" t="inlineStr">
        <is>
          <t>山林水</t>
        </is>
      </c>
      <c r="E128" t="inlineStr">
        <is>
          <t>權息</t>
        </is>
      </c>
      <c r="F128" t="n">
        <v>0.782345</v>
      </c>
    </row>
  </sheetData>
  <mergeCells count="29">
    <mergeCell ref="G38:I38"/>
    <mergeCell ref="B9:N9"/>
    <mergeCell ref="G37:I37"/>
    <mergeCell ref="B40:N40"/>
    <mergeCell ref="B112:J112"/>
    <mergeCell ref="B4:N4"/>
    <mergeCell ref="B65:J65"/>
    <mergeCell ref="B7:N7"/>
    <mergeCell ref="B3:N3"/>
    <mergeCell ref="B74:J74"/>
    <mergeCell ref="B6:J6"/>
    <mergeCell ref="B51:J51"/>
    <mergeCell ref="B36:J36"/>
    <mergeCell ref="B12:N12"/>
    <mergeCell ref="B94:J94"/>
    <mergeCell ref="B39:N39"/>
    <mergeCell ref="B11:N11"/>
    <mergeCell ref="B42:E42"/>
    <mergeCell ref="B2:N2"/>
    <mergeCell ref="B92:F92"/>
    <mergeCell ref="F42:I42"/>
    <mergeCell ref="B14:N14"/>
    <mergeCell ref="B90:J90"/>
    <mergeCell ref="C38:D38"/>
    <mergeCell ref="B8:N8"/>
    <mergeCell ref="C37:D37"/>
    <mergeCell ref="B13:N13"/>
    <mergeCell ref="B63:F63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7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7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6:D11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2026/09/02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景碩 (3189) · 10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緯穎 (6669)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(42%)</t>
        </is>
      </c>
    </row>
    <row r="16">
      <c r="C16" s="69" t="inlineStr">
        <is>
          <t>電子零組件業 · 5 檔 (26%)</t>
        </is>
      </c>
    </row>
    <row r="17">
      <c r="C17" s="69" t="inlineStr">
        <is>
          <t>電腦及週邊設備業 · 2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11,967 萬 (★共識)</t>
        </is>
      </c>
    </row>
    <row r="21">
      <c r="C21" s="69" t="inlineStr">
        <is>
          <t>台積電 (2330) · 8,772 萬 (★共識)</t>
        </is>
      </c>
    </row>
    <row r="22">
      <c r="C22" s="69" t="inlineStr">
        <is>
          <t>欣興 (3037) · 5,242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-151 億 淨買</t>
        </is>
      </c>
    </row>
    <row r="30">
      <c r="C30" s="71" t="inlineStr">
        <is>
          <t>比昨 -23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24/24 交易日出手 1155 次 (343 檔), 風格分布: 隔日沖近似 34% / 當沖 14% / 留倉 52%, 漲停命中 3% (其中 🔒鎖漲停 2%), 前 5 大集中 18%, 長線部位 0% (1 檔), ⚠️ 處置股部位 13% (23 檔), 📦 連續囤貨 22 檔 (最長 11 天 00406A, 5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11967</v>
      </c>
      <c r="F12" s="33" t="n">
        <v>0</v>
      </c>
      <c r="G12" s="233" t="n">
        <v>-0.009300000000000001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8772</v>
      </c>
      <c r="F13" s="33" t="n">
        <v>0</v>
      </c>
      <c r="G13" s="233" t="n">
        <v>-0.0225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5242</v>
      </c>
      <c r="F14" s="33" t="n">
        <v>0</v>
      </c>
      <c r="G14" s="215" t="n">
        <v>0.0021</v>
      </c>
    </row>
    <row r="15">
      <c r="B15" t="n">
        <v>4</v>
      </c>
      <c r="C15" t="inlineStr">
        <is>
          <t>3105</t>
        </is>
      </c>
      <c r="D15" t="inlineStr">
        <is>
          <t>穩懋</t>
        </is>
      </c>
      <c r="E15" s="33" t="n">
        <v>5068</v>
      </c>
      <c r="F15" s="33" t="n">
        <v>0</v>
      </c>
      <c r="G15" s="233" t="n">
        <v>-0.0457</v>
      </c>
    </row>
    <row r="16">
      <c r="B16" t="n">
        <v>5</v>
      </c>
      <c r="C16" t="inlineStr">
        <is>
          <t>2455</t>
        </is>
      </c>
      <c r="D16" t="inlineStr">
        <is>
          <t>全新</t>
        </is>
      </c>
      <c r="E16" s="33" t="n">
        <v>4901</v>
      </c>
      <c r="F16" s="33" t="n">
        <v>0</v>
      </c>
      <c r="G16" s="215" t="n">
        <v>0.0344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4867</v>
      </c>
      <c r="F17" s="33" t="n">
        <v>0</v>
      </c>
      <c r="G17" s="233" t="n">
        <v>-0.0493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4507</v>
      </c>
      <c r="F18" s="33" t="n">
        <v>0</v>
      </c>
      <c r="G18" s="233" t="n">
        <v>-0.07240000000000001</v>
      </c>
    </row>
    <row r="19">
      <c r="B19" t="n">
        <v>8</v>
      </c>
      <c r="C19" t="inlineStr">
        <is>
          <t>6669</t>
        </is>
      </c>
      <c r="D19" t="inlineStr">
        <is>
          <t>緯穎</t>
        </is>
      </c>
      <c r="E19" s="33" t="n">
        <v>4440</v>
      </c>
      <c r="F19" s="33" t="n">
        <v>0</v>
      </c>
      <c r="G19" s="233" t="n">
        <v>-0.6654000000000001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3488</v>
      </c>
      <c r="F20" s="33" t="n">
        <v>0</v>
      </c>
      <c r="G20" s="215" t="n">
        <v>0.017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3394</v>
      </c>
      <c r="F21" s="33" t="n">
        <v>0</v>
      </c>
      <c r="G21" s="233" t="n">
        <v>-0.05230000000000001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A3" s="116" t="n"/>
      <c r="B3" s="116" t="n"/>
      <c r="C3" s="116" t="n"/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A12" s="118" t="n"/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A13" s="116" t="n"/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A14" s="116" t="n"/>
      <c r="B14" s="116" t="n"/>
      <c r="C14" s="116" t="n"/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A23" s="118" t="n"/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A24" s="116" t="n"/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A25" s="116" t="n"/>
      <c r="B25" s="116" t="n"/>
      <c r="C25" s="116" t="n"/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A36" s="124" t="n"/>
      <c r="B36" s="124" t="n"/>
      <c r="C36" s="124" t="n"/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A45" s="125" t="n"/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A46" s="124" t="n"/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A47" s="124" t="n"/>
      <c r="B47" s="124" t="n"/>
      <c r="C47" s="124" t="n"/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A56" s="125" t="n"/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A57" s="124" t="n"/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A58" s="124" t="n"/>
      <c r="B58" s="124" t="n"/>
      <c r="C58" s="124" t="n"/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A67" s="125" t="n"/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A68" s="124" t="n"/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A69" s="124" t="n"/>
      <c r="B69" s="124" t="n"/>
      <c r="C69" s="124" t="n"/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A80" s="131" t="n"/>
      <c r="B80" s="131" t="n"/>
      <c r="C80" s="131" t="n"/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A89" s="132" t="n"/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A91" s="131" t="n"/>
      <c r="B91" s="131" t="n"/>
      <c r="C91" s="131" t="n"/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A100" s="132" t="n"/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A111" s="132" t="n"/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A122" s="132" t="n"/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A133" s="132" t="n"/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A146" s="138" t="n"/>
      <c r="B146" s="138" t="n"/>
      <c r="C146" s="138" t="n"/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A155" s="139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8" t="n"/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A157" s="138" t="n"/>
      <c r="B157" s="138" t="n"/>
      <c r="C157" s="138" t="n"/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A166" s="139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8" t="n"/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A168" s="138" t="n"/>
      <c r="B168" s="138" t="n"/>
      <c r="C168" s="138" t="n"/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A177" s="139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8" t="n"/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A179" s="138" t="n"/>
      <c r="B179" s="138" t="n"/>
      <c r="C179" s="138" t="n"/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A188" s="139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8" t="n"/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全新(2455)</t>
        </is>
      </c>
      <c r="E189" s="136" t="n">
        <v>276</v>
      </c>
      <c r="F189" s="136" t="n">
        <v>245</v>
      </c>
      <c r="G189" s="136" t="n">
        <v>14958</v>
      </c>
      <c r="H189" s="136" t="n">
        <v>13291</v>
      </c>
      <c r="I189" s="136" t="n">
        <v>1667</v>
      </c>
      <c r="J189" s="137" t="n">
        <v>541.97</v>
      </c>
      <c r="K189" s="137" t="n">
        <v>542.49</v>
      </c>
      <c r="L189" s="236">
        <f>F189*(K189-J189)</f>
        <v/>
      </c>
    </row>
    <row r="190" ht="16.5" customHeight="1">
      <c r="A190" s="138" t="n"/>
      <c r="B190" s="138" t="n"/>
      <c r="C190" s="138" t="n"/>
      <c r="D190" s="135" t="inlineStr">
        <is>
          <t>華星光(4979)</t>
        </is>
      </c>
      <c r="E190" s="136" t="n">
        <v>90</v>
      </c>
      <c r="F190" s="136" t="n">
        <v>0</v>
      </c>
      <c r="G190" s="136" t="n">
        <v>5539</v>
      </c>
      <c r="H190" s="136" t="n">
        <v>0</v>
      </c>
      <c r="I190" s="136" t="n">
        <v>5539</v>
      </c>
      <c r="J190" s="137" t="n">
        <v>615.4</v>
      </c>
      <c r="K190" s="137" t="n">
        <v>0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禾伸堂(3026)</t>
        </is>
      </c>
      <c r="E191" s="136" t="n">
        <v>68</v>
      </c>
      <c r="F191" s="136" t="n">
        <v>24</v>
      </c>
      <c r="G191" s="136" t="n">
        <v>4669</v>
      </c>
      <c r="H191" s="136" t="n">
        <v>1652</v>
      </c>
      <c r="I191" s="136" t="n">
        <v>3017</v>
      </c>
      <c r="J191" s="137" t="n">
        <v>686.62</v>
      </c>
      <c r="K191" s="137" t="n">
        <v>688.33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台光電(2383)</t>
        </is>
      </c>
      <c r="E192" s="136" t="n">
        <v>8</v>
      </c>
      <c r="F192" s="136" t="n">
        <v>0</v>
      </c>
      <c r="G192" s="136" t="n">
        <v>4447</v>
      </c>
      <c r="H192" s="136" t="n">
        <v>0</v>
      </c>
      <c r="I192" s="136" t="n">
        <v>4447</v>
      </c>
      <c r="J192" s="137" t="n">
        <v>5559.12</v>
      </c>
      <c r="K192" s="137" t="n">
        <v>0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南亞(1303)</t>
        </is>
      </c>
      <c r="E193" s="136" t="n">
        <v>170</v>
      </c>
      <c r="F193" s="136" t="n">
        <v>143</v>
      </c>
      <c r="G193" s="136" t="n">
        <v>4045</v>
      </c>
      <c r="H193" s="136" t="n">
        <v>3405</v>
      </c>
      <c r="I193" s="136" t="n">
        <v>640</v>
      </c>
      <c r="J193" s="137" t="n">
        <v>237.96</v>
      </c>
      <c r="K193" s="137" t="n">
        <v>238.12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台積電(2330)</t>
        </is>
      </c>
      <c r="E194" s="136" t="n">
        <v>16</v>
      </c>
      <c r="F194" s="136" t="n">
        <v>2</v>
      </c>
      <c r="G194" s="136" t="n">
        <v>3933</v>
      </c>
      <c r="H194" s="136" t="n">
        <v>363</v>
      </c>
      <c r="I194" s="136" t="n">
        <v>3570</v>
      </c>
      <c r="J194" s="137" t="n">
        <v>2458.12</v>
      </c>
      <c r="K194" s="137" t="n">
        <v>1814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台燿(6274)</t>
        </is>
      </c>
      <c r="E195" s="136" t="n">
        <v>26</v>
      </c>
      <c r="F195" s="136" t="n">
        <v>1</v>
      </c>
      <c r="G195" s="136" t="n">
        <v>3635</v>
      </c>
      <c r="H195" s="136" t="n">
        <v>188</v>
      </c>
      <c r="I195" s="136" t="n">
        <v>3447</v>
      </c>
      <c r="J195" s="137" t="n">
        <v>1398.04</v>
      </c>
      <c r="K195" s="137" t="n">
        <v>1878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穩懋(3105)</t>
        </is>
      </c>
      <c r="E196" s="136" t="n">
        <v>72</v>
      </c>
      <c r="F196" s="136" t="n">
        <v>36</v>
      </c>
      <c r="G196" s="136" t="n">
        <v>3365</v>
      </c>
      <c r="H196" s="136" t="n">
        <v>1713</v>
      </c>
      <c r="I196" s="136" t="n">
        <v>1652</v>
      </c>
      <c r="J196" s="137" t="n">
        <v>467.4</v>
      </c>
      <c r="K196" s="137" t="n">
        <v>475.83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光寶科(2301)</t>
        </is>
      </c>
      <c r="E197" s="136" t="n">
        <v>90</v>
      </c>
      <c r="F197" s="136" t="n">
        <v>29</v>
      </c>
      <c r="G197" s="136" t="n">
        <v>2832</v>
      </c>
      <c r="H197" s="136" t="n">
        <v>918</v>
      </c>
      <c r="I197" s="136" t="n">
        <v>1914</v>
      </c>
      <c r="J197" s="137" t="n">
        <v>314.68</v>
      </c>
      <c r="K197" s="137" t="n">
        <v>316.52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欣興(3037)</t>
        </is>
      </c>
      <c r="E198" s="136" t="n">
        <v>26</v>
      </c>
      <c r="F198" s="136" t="n">
        <v>20</v>
      </c>
      <c r="G198" s="136" t="n">
        <v>2550</v>
      </c>
      <c r="H198" s="136" t="n">
        <v>1919</v>
      </c>
      <c r="I198" s="136" t="n">
        <v>631</v>
      </c>
      <c r="J198" s="137" t="n">
        <v>980.65</v>
      </c>
      <c r="K198" s="137" t="n">
        <v>959.6</v>
      </c>
      <c r="L198" s="235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A201" s="145" t="n"/>
      <c r="B201" s="145" t="n"/>
      <c r="C201" s="145" t="n"/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A210" s="146" t="n"/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A211" s="145" t="n"/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A212" s="145" t="n"/>
      <c r="B212" s="145" t="n"/>
      <c r="C212" s="145" t="n"/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A221" s="146" t="n"/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A222" s="145" t="n"/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A223" s="145" t="n"/>
      <c r="B223" s="145" t="n"/>
      <c r="C223" s="145" t="n"/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A232" s="146" t="n"/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A233" s="145" t="n"/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A234" s="145" t="n"/>
      <c r="B234" s="145" t="n"/>
      <c r="C234" s="145" t="n"/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A245" s="152" t="n"/>
      <c r="B245" s="152" t="n"/>
      <c r="C245" s="152" t="n"/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A254" s="153" t="n"/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A255" s="152" t="n"/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A256" s="152" t="n"/>
      <c r="B256" s="152" t="n"/>
      <c r="C256" s="152" t="n"/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A265" s="153" t="n"/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A266" s="152" t="n"/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A267" s="152" t="n"/>
      <c r="B267" s="152" t="n"/>
      <c r="C267" s="152" t="n"/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A278" s="159" t="n"/>
      <c r="B278" s="159" t="n"/>
      <c r="C278" s="159" t="n"/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A289" s="165" t="n"/>
      <c r="B289" s="165" t="n"/>
      <c r="C289" s="165" t="n"/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A298" s="166" t="n"/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A299" s="165" t="n"/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A300" s="165" t="n"/>
      <c r="B300" s="165" t="n"/>
      <c r="C300" s="165" t="n"/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A309" s="166" t="n"/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A310" s="165" t="n"/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A311" s="165" t="n"/>
      <c r="B311" s="165" t="n"/>
      <c r="C311" s="165" t="n"/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A320" s="166" t="n"/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A321" s="165" t="n"/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A322" s="165" t="n"/>
      <c r="B322" s="165" t="n"/>
      <c r="C322" s="165" t="n"/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A331" s="166" t="n"/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A332" s="165" t="n"/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A333" s="165" t="n"/>
      <c r="B333" s="165" t="n"/>
      <c r="C333" s="165" t="n"/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A342" s="166" t="n"/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A343" s="165" t="n"/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A344" s="165" t="n"/>
      <c r="B344" s="165" t="n"/>
      <c r="C344" s="165" t="n"/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A353" s="166" t="n"/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A354" s="165" t="n"/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A355" s="165" t="n"/>
      <c r="B355" s="165" t="n"/>
      <c r="C355" s="165" t="n"/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A366" s="172" t="n"/>
      <c r="B366" s="172" t="n"/>
      <c r="C366" s="172" t="n"/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A377" s="178" t="n"/>
      <c r="B377" s="178" t="n"/>
      <c r="C377" s="178" t="n"/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A386" s="179" t="n"/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A387" s="178" t="n"/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A388" s="178" t="n"/>
      <c r="B388" s="178" t="n"/>
      <c r="C388" s="178" t="n"/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A397" s="179" t="n"/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A398" s="178" t="n"/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A399" s="178" t="n"/>
      <c r="B399" s="178" t="n"/>
      <c r="C399" s="178" t="n"/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A410" s="185" t="n"/>
      <c r="B410" s="185" t="n"/>
      <c r="C410" s="185" t="n"/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A415" s="185" t="n"/>
      <c r="B415" s="185" t="n"/>
      <c r="C415" s="185" t="n"/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A416" s="185" t="n"/>
      <c r="B416" s="185" t="n"/>
      <c r="C416" s="185" t="n"/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91" t="n"/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A420" s="185" t="n"/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A421" s="185" t="n"/>
      <c r="B421" s="185" t="n"/>
      <c r="C421" s="185" t="n"/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A425" s="185" t="n"/>
      <c r="B425" s="185" t="n"/>
      <c r="C425" s="185" t="n"/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91" t="n"/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A431" s="185" t="n"/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A432" s="185" t="n"/>
      <c r="B432" s="185" t="n"/>
      <c r="C432" s="185" t="n"/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A443" s="199" t="n"/>
      <c r="B443" s="199" t="n"/>
      <c r="C443" s="199" t="n"/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A464" s="205" t="n"/>
      <c r="B464" s="205" t="n"/>
      <c r="C464" s="205" t="n"/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A473" s="206" t="n"/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A474" s="205" t="n"/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A475" s="205" t="n"/>
      <c r="B475" s="205" t="n"/>
      <c r="C475" s="205" t="n"/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17:25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2026-09-02T17:25:24Z</dcterms:modified>
</cp:coreProperties>
</file>