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0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63.4%
  • 領頭金額 78,702 萬
  • 合計淨買 124,157 萬
  • 大戶數 10 位 (名義共識)
判讀: 名義 10 位大戶共識,
實質 1 人下注佔 63%,
剩餘 9 位為陪襯小單,
真共識訊號被稀釋.</t>
      </text>
    </comment>
    <comment ref="D19" authorId="0" shapeId="0">
      <text>
        <t>⚠️ 假共識警示
領頭大戶「張濬安(航海王)」獨佔比 70.3%
  • 領頭金額 46,573 萬
  • 合計淨買 66,234 萬
  • 大戶數 10 位 (名義共識)
判讀: 名義 10 位大戶共識,
實質 1 人下注佔 70%,
剩餘 9 位為陪襯小單,
真共識訊號被稀釋.</t>
      </text>
    </comment>
    <comment ref="D20" authorId="0" shapeId="0">
      <text>
        <t>⚠️ 假共識警示
領頭大戶「張濬安(航海王)」獨佔比 53.6%
  • 領頭金額 24,904 萬
  • 合計淨買 46,428 萬
  • 大戶數 11 位 (名義共識)
判讀: 名義 11 位大戶共識,
實質 1 人下注佔 54%,
剩餘 10 位為陪襯小單,
真共識訊號被稀釋.</t>
      </text>
    </comment>
    <comment ref="D23" authorId="0" shapeId="0">
      <text>
        <t>⚠️ 假共識警示
領頭大戶「張濬安(航海王)」獨佔比 51.7%
  • 領頭金額 15,224 萬
  • 合計淨買 29,424 萬
  • 大戶數 11 位 (名義共識)
判讀: 名義 11 位大戶共識,
實質 1 人下注佔 52%,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2026/09/01 (追蹤 13 位大戶)</t>
        </is>
      </c>
    </row>
    <row r="3" ht="24" customHeight="1">
      <c r="B3" s="2" t="inlineStr">
        <is>
          <t>🎯 12 強共識 / Q5 ↑ 偏多 95% / E 10 異常 / F 6 長期 / J 1 集中 / H 2 借券壓力</t>
        </is>
      </c>
    </row>
    <row r="4" ht="22" customHeight="1">
      <c r="B4" s="3" t="inlineStr">
        <is>
          <t>💡 🎯 quad 進場 (78.9% alpha): 2408 / 2344 / 6770 +9  |  避開 — 除權息 13 檔: 00939, 00984D, 1732 ... | 明日恐處置 3 檔: 3625/4304/4971  |  訊號: 強偏多 (Q5 95%,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28.6% [17.8–42.4% 95% CI] (n=49, mean -1.02%) | 30d 實戰: 14/49 = 28.6% vs baseline 48.5% = -20.0pp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10/49 = 20% | 平均 -1.61% | 中位 -2.31% | 累積 -79%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8" t="inlineStr">
        <is>
          <t>🎯 今日 quad 命中 12 檔 (⭐⭐ 12 premium + ⭐ 0 一般): ⭐⭐南亞科(2408), ⭐⭐華邦電(2344), ⭐⭐力積電(6770), ⭐⭐聯鈞(3450), ⭐⭐南亞(1303) +7 檔  |  Q5 偏多 + 4 位 master 量爆</t>
        </is>
      </c>
    </row>
    <row r="12" ht="18" customHeight="1">
      <c r="B12" s="9" t="inlineStr">
        <is>
          <t>📊 今日共識集中產業 (top 3): 半導體業 6 (50%)  |  電子零組件業 3 (25%)  |  塑膠工業 2 (17%)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s="209" t="inlineStr">
        <is>
          <t>📌 🔁 ⭐⭐ 南亞科</t>
        </is>
      </c>
      <c r="E16" s="14" t="n">
        <v>12</v>
      </c>
      <c r="F16" s="15" t="n">
        <v>30</v>
      </c>
      <c r="G16" s="16" t="inlineStr">
        <is>
          <t>張濬安</t>
        </is>
      </c>
      <c r="H16" s="17" t="n">
        <v>21508</v>
      </c>
      <c r="I16" t="inlineStr">
        <is>
          <t>陳律師</t>
        </is>
      </c>
      <c r="J16" s="18" t="n">
        <v>21175</v>
      </c>
      <c r="K16" t="inlineStr">
        <is>
          <t>陳族元</t>
        </is>
      </c>
      <c r="L16" s="18" t="n">
        <v>19716</v>
      </c>
      <c r="M16" s="19" t="n">
        <v>9</v>
      </c>
      <c r="N16" s="17" t="n">
        <v>152902</v>
      </c>
    </row>
    <row r="17">
      <c r="B17" s="13" t="n">
        <v>2</v>
      </c>
      <c r="C17" t="inlineStr">
        <is>
          <t>2368</t>
        </is>
      </c>
      <c r="D17" s="20" t="inlineStr">
        <is>
          <t>📌 ⭐⭐⚠️ 金像電</t>
        </is>
      </c>
      <c r="E17" s="14" t="n">
        <v>10</v>
      </c>
      <c r="F17" s="15" t="n">
        <v>16</v>
      </c>
      <c r="G17" s="16" t="inlineStr">
        <is>
          <t>陳族元</t>
        </is>
      </c>
      <c r="H17" s="17" t="n">
        <v>78703</v>
      </c>
      <c r="I17" t="inlineStr">
        <is>
          <t>張濬安</t>
        </is>
      </c>
      <c r="J17" s="18" t="n">
        <v>33083</v>
      </c>
      <c r="K17" t="inlineStr">
        <is>
          <t>布哥</t>
        </is>
      </c>
      <c r="L17" s="18" t="n">
        <v>3920</v>
      </c>
      <c r="M17" s="19" t="n">
        <v>7</v>
      </c>
      <c r="N17" s="17" t="n">
        <v>124158</v>
      </c>
    </row>
    <row r="18">
      <c r="B18" s="13" t="n">
        <v>3</v>
      </c>
      <c r="C18" t="inlineStr">
        <is>
          <t>2344</t>
        </is>
      </c>
      <c r="D18" s="209" t="inlineStr">
        <is>
          <t>📌 🔁 ⭐⭐ 華邦電</t>
        </is>
      </c>
      <c r="E18" s="14" t="n">
        <v>13</v>
      </c>
      <c r="F18" s="15" t="n">
        <v>34</v>
      </c>
      <c r="G18" s="16" t="inlineStr">
        <is>
          <t>陳族元</t>
        </is>
      </c>
      <c r="H18" s="17" t="n">
        <v>13887</v>
      </c>
      <c r="I18" t="inlineStr">
        <is>
          <t>張濬安</t>
        </is>
      </c>
      <c r="J18" s="18" t="n">
        <v>12590</v>
      </c>
      <c r="K18" t="inlineStr">
        <is>
          <t>林滄海</t>
        </is>
      </c>
      <c r="L18" s="18" t="n">
        <v>9144</v>
      </c>
      <c r="M18" s="19" t="n">
        <v>10</v>
      </c>
      <c r="N18" s="17" t="n">
        <v>78294</v>
      </c>
    </row>
    <row r="19">
      <c r="B19" t="n">
        <v>4</v>
      </c>
      <c r="C19" t="inlineStr">
        <is>
          <t>8046</t>
        </is>
      </c>
      <c r="D19" s="20" t="inlineStr">
        <is>
          <t>🔁 ⭐⭐⚠️ 南電</t>
        </is>
      </c>
      <c r="E19" s="14" t="n">
        <v>10</v>
      </c>
      <c r="F19" s="15" t="n">
        <v>17</v>
      </c>
      <c r="G19" s="16" t="inlineStr">
        <is>
          <t>張濬安</t>
        </is>
      </c>
      <c r="H19" s="17" t="n">
        <v>46573</v>
      </c>
      <c r="I19" t="inlineStr">
        <is>
          <t>陳律師</t>
        </is>
      </c>
      <c r="J19" s="18" t="n">
        <v>4735</v>
      </c>
      <c r="K19" t="inlineStr">
        <is>
          <t>Tradow</t>
        </is>
      </c>
      <c r="L19" s="18" t="n">
        <v>3570</v>
      </c>
      <c r="M19" s="19" t="n">
        <v>7</v>
      </c>
      <c r="N19" s="17" t="n">
        <v>66234</v>
      </c>
    </row>
    <row r="20">
      <c r="B20" t="n">
        <v>5</v>
      </c>
      <c r="C20" t="inlineStr">
        <is>
          <t>6446</t>
        </is>
      </c>
      <c r="D20" s="20" t="inlineStr">
        <is>
          <t>⭐⭐⚠️ 藥華藥</t>
        </is>
      </c>
      <c r="E20" s="14" t="n">
        <v>11</v>
      </c>
      <c r="F20" s="15" t="n">
        <v>25</v>
      </c>
      <c r="G20" s="16" t="inlineStr">
        <is>
          <t>張濬安</t>
        </is>
      </c>
      <c r="H20" s="17" t="n">
        <v>24905</v>
      </c>
      <c r="I20" t="inlineStr">
        <is>
          <t>林滄海</t>
        </is>
      </c>
      <c r="J20" s="18" t="n">
        <v>6475</v>
      </c>
      <c r="K20" t="inlineStr">
        <is>
          <t>陳族元</t>
        </is>
      </c>
      <c r="L20" s="18" t="n">
        <v>4004</v>
      </c>
      <c r="M20" s="19" t="n">
        <v>8</v>
      </c>
      <c r="N20" s="17" t="n">
        <v>46428</v>
      </c>
    </row>
    <row r="21">
      <c r="B21" t="n">
        <v>6</v>
      </c>
      <c r="C21" t="inlineStr">
        <is>
          <t>1303</t>
        </is>
      </c>
      <c r="D21" s="209" t="inlineStr">
        <is>
          <t>🔁 ⭐⭐ 南亞</t>
        </is>
      </c>
      <c r="E21" s="14" t="n">
        <v>12</v>
      </c>
      <c r="F21" s="15" t="n">
        <v>22</v>
      </c>
      <c r="G21" s="16" t="inlineStr">
        <is>
          <t>陳族元</t>
        </is>
      </c>
      <c r="H21" s="17" t="n">
        <v>7366</v>
      </c>
      <c r="I21" t="inlineStr">
        <is>
          <t>強森</t>
        </is>
      </c>
      <c r="J21" s="18" t="n">
        <v>6655</v>
      </c>
      <c r="K21" t="inlineStr">
        <is>
          <t>張濬安</t>
        </is>
      </c>
      <c r="L21" s="18" t="n">
        <v>6323</v>
      </c>
      <c r="M21" s="19" t="n">
        <v>9</v>
      </c>
      <c r="N21" s="17" t="n">
        <v>34034</v>
      </c>
    </row>
    <row r="22">
      <c r="B22" t="n">
        <v>7</v>
      </c>
      <c r="C22" t="inlineStr">
        <is>
          <t>6770</t>
        </is>
      </c>
      <c r="D22" s="209" t="inlineStr">
        <is>
          <t>📌 ⭐⭐ 力積電</t>
        </is>
      </c>
      <c r="E22" s="14" t="n">
        <v>13</v>
      </c>
      <c r="F22" s="15" t="n">
        <v>30</v>
      </c>
      <c r="G22" s="16" t="inlineStr">
        <is>
          <t>林滄海</t>
        </is>
      </c>
      <c r="H22" s="17" t="n">
        <v>7151</v>
      </c>
      <c r="I22" t="inlineStr">
        <is>
          <t>張濬安</t>
        </is>
      </c>
      <c r="J22" s="18" t="n">
        <v>6002</v>
      </c>
      <c r="K22" t="inlineStr">
        <is>
          <t>陳族元</t>
        </is>
      </c>
      <c r="L22" s="18" t="n">
        <v>4993</v>
      </c>
      <c r="M22" s="19" t="n">
        <v>10</v>
      </c>
      <c r="N22" s="17" t="n">
        <v>32312</v>
      </c>
    </row>
    <row r="23">
      <c r="B23" t="n">
        <v>8</v>
      </c>
      <c r="C23" t="inlineStr">
        <is>
          <t>3450</t>
        </is>
      </c>
      <c r="D23" s="20" t="inlineStr">
        <is>
          <t>⭐⭐⚠️ 聯鈞</t>
        </is>
      </c>
      <c r="E23" s="14" t="n">
        <v>11</v>
      </c>
      <c r="F23" s="15" t="n">
        <v>15</v>
      </c>
      <c r="G23" s="16" t="inlineStr">
        <is>
          <t>張濬安</t>
        </is>
      </c>
      <c r="H23" s="17" t="n">
        <v>15224</v>
      </c>
      <c r="I23" t="inlineStr">
        <is>
          <t>林滄海</t>
        </is>
      </c>
      <c r="J23" s="18" t="n">
        <v>7279</v>
      </c>
      <c r="K23" t="inlineStr">
        <is>
          <t>蔣承翰</t>
        </is>
      </c>
      <c r="L23" s="18" t="n">
        <v>1216</v>
      </c>
      <c r="M23" s="19" t="n">
        <v>8</v>
      </c>
      <c r="N23" s="17" t="n">
        <v>29424</v>
      </c>
    </row>
    <row r="24">
      <c r="B24" t="n">
        <v>9</v>
      </c>
      <c r="C24" t="inlineStr">
        <is>
          <t>8358</t>
        </is>
      </c>
      <c r="D24" s="209" t="inlineStr">
        <is>
          <t>📌 ⭐⭐ 金居</t>
        </is>
      </c>
      <c r="E24" s="14" t="n">
        <v>10</v>
      </c>
      <c r="F24" s="15" t="n">
        <v>21</v>
      </c>
      <c r="G24" s="16" t="inlineStr">
        <is>
          <t>陳族元</t>
        </is>
      </c>
      <c r="H24" s="17" t="n">
        <v>9943</v>
      </c>
      <c r="I24" t="inlineStr">
        <is>
          <t>張濬安</t>
        </is>
      </c>
      <c r="J24" s="18" t="n">
        <v>4661</v>
      </c>
      <c r="K24" t="inlineStr">
        <is>
          <t>林滄海</t>
        </is>
      </c>
      <c r="L24" s="18" t="n">
        <v>2349</v>
      </c>
      <c r="M24" s="19" t="n">
        <v>7</v>
      </c>
      <c r="N24" s="17" t="n">
        <v>28819</v>
      </c>
    </row>
    <row r="25">
      <c r="B25" t="n">
        <v>10</v>
      </c>
      <c r="C25" t="inlineStr">
        <is>
          <t>8299</t>
        </is>
      </c>
      <c r="D25" s="209" t="inlineStr">
        <is>
          <t>📌 ⭐⭐ 群聯</t>
        </is>
      </c>
      <c r="E25" s="14" t="n">
        <v>11</v>
      </c>
      <c r="F25" s="15" t="n">
        <v>18</v>
      </c>
      <c r="G25" s="16" t="inlineStr">
        <is>
          <t>強森</t>
        </is>
      </c>
      <c r="H25" s="17" t="n">
        <v>8363</v>
      </c>
      <c r="I25" t="inlineStr">
        <is>
          <t>張濬安</t>
        </is>
      </c>
      <c r="J25" s="18" t="n">
        <v>4640</v>
      </c>
      <c r="K25" t="inlineStr">
        <is>
          <t>蔣承翰</t>
        </is>
      </c>
      <c r="L25" s="18" t="n">
        <v>1491</v>
      </c>
      <c r="M25" s="19" t="n">
        <v>8</v>
      </c>
      <c r="N25" s="17" t="n">
        <v>20948</v>
      </c>
    </row>
    <row r="26">
      <c r="B26" t="n">
        <v>11</v>
      </c>
      <c r="C26" t="inlineStr">
        <is>
          <t>3006</t>
        </is>
      </c>
      <c r="D26" s="209" t="inlineStr">
        <is>
          <t>📌 ⭐⭐ 晶豪科</t>
        </is>
      </c>
      <c r="E26" s="14" t="n">
        <v>10</v>
      </c>
      <c r="F26" s="15" t="n">
        <v>17</v>
      </c>
      <c r="G26" s="16" t="inlineStr">
        <is>
          <t>張濬安</t>
        </is>
      </c>
      <c r="H26" s="17" t="n">
        <v>5508</v>
      </c>
      <c r="I26" t="inlineStr">
        <is>
          <t>陳族元</t>
        </is>
      </c>
      <c r="J26" s="18" t="n">
        <v>3239</v>
      </c>
      <c r="K26" t="inlineStr">
        <is>
          <t>強森</t>
        </is>
      </c>
      <c r="L26" s="18" t="n">
        <v>1871</v>
      </c>
      <c r="M26" s="19" t="n">
        <v>7</v>
      </c>
      <c r="N26" s="17" t="n">
        <v>15707</v>
      </c>
    </row>
    <row r="27">
      <c r="B27" t="n">
        <v>12</v>
      </c>
      <c r="C27" t="inlineStr">
        <is>
          <t>1312</t>
        </is>
      </c>
      <c r="D27" s="209" t="inlineStr">
        <is>
          <t>📌 ⭐⭐ 國喬</t>
        </is>
      </c>
      <c r="E27" s="14" t="n">
        <v>10</v>
      </c>
      <c r="F27" s="15" t="n">
        <v>17</v>
      </c>
      <c r="G27" s="16" t="inlineStr">
        <is>
          <t>陳族元</t>
        </is>
      </c>
      <c r="H27" s="17" t="n">
        <v>660</v>
      </c>
      <c r="I27" t="inlineStr">
        <is>
          <t>陳律師</t>
        </is>
      </c>
      <c r="J27" s="18" t="n">
        <v>536</v>
      </c>
      <c r="K27" t="inlineStr">
        <is>
          <t>張濬安</t>
        </is>
      </c>
      <c r="L27" s="18" t="n">
        <v>433</v>
      </c>
      <c r="M27" s="19" t="n">
        <v>7</v>
      </c>
      <c r="N27" s="17" t="n">
        <v>2601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10" t="n">
        <v>1</v>
      </c>
      <c r="F30" s="22" t="inlineStr">
        <is>
          <t>Q2 淨買差</t>
        </is>
      </c>
      <c r="G30" s="211" t="n">
        <v>-23.14886</v>
      </c>
    </row>
    <row r="31" ht="28" customHeight="1">
      <c r="B31" s="22" t="inlineStr">
        <is>
          <t>Q3 強共識股</t>
        </is>
      </c>
      <c r="C31" s="212" t="n">
        <v>12</v>
      </c>
      <c r="F31" s="22" t="inlineStr">
        <is>
          <t>Q4 追蹤佔比</t>
        </is>
      </c>
      <c r="G31" s="213" t="n">
        <v>0.2097539260421956</v>
      </c>
    </row>
    <row r="32" ht="22" customHeight="1">
      <c r="B32" s="214" t="n">
        <v>95</v>
      </c>
    </row>
    <row r="33" ht="18" customHeight="1">
      <c r="B33" s="28" t="inlineStr">
        <is>
          <t>✅ 過去 30 天 P/C 命中率: 偏多 14/23 (61%) | 偏空 2/2 (100%) | 整體 16/25 (64%)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張濬安(航海王)</t>
        </is>
      </c>
      <c r="D37" s="33" t="n">
        <v>2424518</v>
      </c>
      <c r="E37" t="inlineStr">
        <is>
          <t>35.4%</t>
        </is>
      </c>
      <c r="F37" t="n">
        <v>1</v>
      </c>
      <c r="G37" s="16" t="inlineStr">
        <is>
          <t>景碩(3189)</t>
        </is>
      </c>
      <c r="H37" s="33" t="n">
        <v>333607</v>
      </c>
      <c r="I37" s="215" t="n">
        <v>0.0672</v>
      </c>
    </row>
    <row r="38">
      <c r="B38" t="n">
        <v>2</v>
      </c>
      <c r="C38" s="35" t="inlineStr">
        <is>
          <t>陳族元</t>
        </is>
      </c>
      <c r="D38" s="33" t="n">
        <v>1485604</v>
      </c>
      <c r="E38" t="inlineStr">
        <is>
          <t>21.7%</t>
        </is>
      </c>
      <c r="F38" t="n">
        <v>2</v>
      </c>
      <c r="G38" s="16" t="inlineStr">
        <is>
          <t>聯電(2303)</t>
        </is>
      </c>
      <c r="H38" s="33" t="n">
        <v>234593</v>
      </c>
      <c r="I38" s="215" t="n">
        <v>0.0271</v>
      </c>
    </row>
    <row r="39">
      <c r="B39" t="n">
        <v>3</v>
      </c>
      <c r="C39" s="36" t="inlineStr">
        <is>
          <t>陳律師</t>
        </is>
      </c>
      <c r="D39" s="33" t="n">
        <v>573494</v>
      </c>
      <c r="E39" t="inlineStr">
        <is>
          <t>8.4%</t>
        </is>
      </c>
      <c r="F39" t="n">
        <v>3</v>
      </c>
      <c r="G39" s="16" t="inlineStr">
        <is>
          <t>臻鼎-KY(4958)</t>
        </is>
      </c>
      <c r="H39" s="33" t="n">
        <v>208219</v>
      </c>
      <c r="I39" s="215" t="n">
        <v>0.07000000000000001</v>
      </c>
    </row>
    <row r="40">
      <c r="B40" t="n">
        <v>4</v>
      </c>
      <c r="C40" s="37" t="inlineStr">
        <is>
          <t>林滄海</t>
        </is>
      </c>
      <c r="D40" s="33" t="n">
        <v>524193</v>
      </c>
      <c r="E40" t="inlineStr">
        <is>
          <t>7.7%</t>
        </is>
      </c>
      <c r="F40" t="n">
        <v>4</v>
      </c>
      <c r="G40" s="16" t="inlineStr">
        <is>
          <t>穩懋(3105)</t>
        </is>
      </c>
      <c r="H40" s="33" t="n">
        <v>184334</v>
      </c>
      <c r="I40" s="215" t="n">
        <v>0.09939999999999999</v>
      </c>
    </row>
    <row r="41">
      <c r="B41" t="n">
        <v>5</v>
      </c>
      <c r="C41" s="38" t="inlineStr">
        <is>
          <t>蔣承翰</t>
        </is>
      </c>
      <c r="D41" s="33" t="n">
        <v>520137</v>
      </c>
      <c r="E41" t="inlineStr">
        <is>
          <t>7.6%</t>
        </is>
      </c>
      <c r="F41" t="n">
        <v>5</v>
      </c>
      <c r="G41" s="16" t="inlineStr">
        <is>
          <t>聯發科(2454)</t>
        </is>
      </c>
      <c r="H41" s="33" t="n">
        <v>179447</v>
      </c>
      <c r="I41" s="215" t="n">
        <v>0.09939999999999999</v>
      </c>
    </row>
    <row r="44" ht="22" customHeight="1">
      <c r="B44" s="39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🔴 量爆</t>
        </is>
      </c>
      <c r="C46" t="inlineStr">
        <is>
          <t>巨人傑</t>
        </is>
      </c>
      <c r="D46" t="inlineStr">
        <is>
          <t>high</t>
        </is>
      </c>
      <c r="E46" t="inlineStr">
        <is>
          <t>巨人傑 今日買進 514,420 萬 (平均 164,842 萬, 偏離 9.2σ)</t>
        </is>
      </c>
      <c r="F46" t="n">
        <v>514420</v>
      </c>
    </row>
    <row r="47">
      <c r="B47" s="40" t="inlineStr">
        <is>
          <t>🆕 新標的</t>
        </is>
      </c>
      <c r="C47" s="40" t="inlineStr">
        <is>
          <t>強森</t>
        </is>
      </c>
      <c r="D47" s="40" t="inlineStr">
        <is>
          <t>high</t>
        </is>
      </c>
      <c r="E47" s="40" t="inlineStr">
        <is>
          <t>強森 今日買進 14 檔新標的 (過去從沒買過)</t>
        </is>
      </c>
      <c r="F47" s="40" t="inlineStr">
        <is>
          <t>14 檔</t>
        </is>
      </c>
    </row>
    <row r="48">
      <c r="B48" t="inlineStr">
        <is>
          <t>🆕 新標的</t>
        </is>
      </c>
      <c r="C48" t="inlineStr">
        <is>
          <t>巨人傑</t>
        </is>
      </c>
      <c r="D48" t="inlineStr">
        <is>
          <t>high</t>
        </is>
      </c>
      <c r="E48" t="inlineStr">
        <is>
          <t>巨人傑 今日買進 12 檔新標的 (過去從沒買過)</t>
        </is>
      </c>
      <c r="F48" t="inlineStr">
        <is>
          <t>12 檔</t>
        </is>
      </c>
    </row>
    <row r="49">
      <c r="B49" s="40" t="inlineStr">
        <is>
          <t>🆕 新標的</t>
        </is>
      </c>
      <c r="C49" s="40" t="inlineStr">
        <is>
          <t>蔣承翰</t>
        </is>
      </c>
      <c r="D49" s="40" t="inlineStr">
        <is>
          <t>high</t>
        </is>
      </c>
      <c r="E49" s="40" t="inlineStr">
        <is>
          <t>蔣承翰 今日買進 11 檔新標的 (過去從沒買過)</t>
        </is>
      </c>
      <c r="F49" s="40" t="inlineStr">
        <is>
          <t>11 檔</t>
        </is>
      </c>
    </row>
    <row r="50">
      <c r="B50" t="inlineStr">
        <is>
          <t>🆕 新標的</t>
        </is>
      </c>
      <c r="C50" t="inlineStr">
        <is>
          <t>陳族元</t>
        </is>
      </c>
      <c r="D50" t="inlineStr">
        <is>
          <t>high</t>
        </is>
      </c>
      <c r="E50" t="inlineStr">
        <is>
          <t>陳族元 今日買進 11 檔新標的 (過去從沒買過)</t>
        </is>
      </c>
      <c r="F50" t="inlineStr">
        <is>
          <t>11 檔</t>
        </is>
      </c>
    </row>
    <row r="51">
      <c r="B51" s="40" t="inlineStr">
        <is>
          <t>🆕 新標的</t>
        </is>
      </c>
      <c r="C51" s="40" t="inlineStr">
        <is>
          <t>民哥</t>
        </is>
      </c>
      <c r="D51" s="40" t="inlineStr">
        <is>
          <t>high</t>
        </is>
      </c>
      <c r="E51" s="40" t="inlineStr">
        <is>
          <t>民哥 今日買進 10 檔新標的 (過去從沒買過)</t>
        </is>
      </c>
      <c r="F51" s="40" t="inlineStr">
        <is>
          <t>10 檔</t>
        </is>
      </c>
    </row>
    <row r="52">
      <c r="B52" t="inlineStr">
        <is>
          <t>🆕 新標的</t>
        </is>
      </c>
      <c r="C52" t="inlineStr">
        <is>
          <t>陳律師</t>
        </is>
      </c>
      <c r="D52" t="inlineStr">
        <is>
          <t>high</t>
        </is>
      </c>
      <c r="E52" t="inlineStr">
        <is>
          <t>陳律師 今日買進 10 檔新標的 (過去從沒買過)</t>
        </is>
      </c>
      <c r="F52" t="inlineStr">
        <is>
          <t>10 檔</t>
        </is>
      </c>
    </row>
    <row r="53">
      <c r="B53" s="40" t="inlineStr">
        <is>
          <t>🆕 新標的</t>
        </is>
      </c>
      <c r="C53" s="40" t="inlineStr">
        <is>
          <t>林滄海</t>
        </is>
      </c>
      <c r="D53" s="40" t="inlineStr">
        <is>
          <t>high</t>
        </is>
      </c>
      <c r="E53" s="40" t="inlineStr">
        <is>
          <t>林滄海 今日買進 9 檔新標的 (過去從沒買過)</t>
        </is>
      </c>
      <c r="F53" s="40" t="inlineStr">
        <is>
          <t>9 檔</t>
        </is>
      </c>
    </row>
    <row r="54">
      <c r="B54" t="inlineStr">
        <is>
          <t>🆕 新標的</t>
        </is>
      </c>
      <c r="C54" t="inlineStr">
        <is>
          <t>布哥/n_nchang</t>
        </is>
      </c>
      <c r="D54" t="inlineStr">
        <is>
          <t>high</t>
        </is>
      </c>
      <c r="E54" t="inlineStr">
        <is>
          <t>布哥/n_nchang 今日買進 8 檔新標的 (過去從沒買過)</t>
        </is>
      </c>
      <c r="F54" t="inlineStr">
        <is>
          <t>8 檔</t>
        </is>
      </c>
    </row>
    <row r="55">
      <c r="B55" s="40" t="inlineStr">
        <is>
          <t>🆕 新標的</t>
        </is>
      </c>
      <c r="C55" s="40" t="inlineStr">
        <is>
          <t>大牌分析師</t>
        </is>
      </c>
      <c r="D55" s="40" t="inlineStr">
        <is>
          <t>high</t>
        </is>
      </c>
      <c r="E55" s="40" t="inlineStr">
        <is>
          <t>大牌分析師 今日買進 7 檔新標的 (過去從沒買過)</t>
        </is>
      </c>
      <c r="F55" s="40" t="inlineStr">
        <is>
          <t>7 檔</t>
        </is>
      </c>
    </row>
    <row r="56">
      <c r="B56" s="41" t="inlineStr">
        <is>
          <t>… 另 6 筆 anomaly (詳見當日 sheet)</t>
        </is>
      </c>
      <c r="C56" s="42" t="n"/>
      <c r="D56" s="42" t="n"/>
      <c r="E56" s="42" t="n"/>
      <c r="F56" s="42" t="n"/>
    </row>
    <row r="58" ht="22" customHeight="1">
      <c r="B58" s="43" t="inlineStr">
        <is>
          <t>▍ F. 跨日連續囤貨 Top 30 (按連續天數排序)</t>
        </is>
      </c>
    </row>
    <row r="59">
      <c r="B59" s="44" t="inlineStr">
        <is>
          <t>Master</t>
        </is>
      </c>
      <c r="C59" s="44" t="inlineStr">
        <is>
          <t>股票代號</t>
        </is>
      </c>
      <c r="D59" s="44" t="inlineStr">
        <is>
          <t>連續天數</t>
        </is>
      </c>
      <c r="E59" s="44" t="inlineStr">
        <is>
          <t>累計買金額(萬)</t>
        </is>
      </c>
      <c r="F59" s="44" t="inlineStr">
        <is>
          <t>說明</t>
        </is>
      </c>
    </row>
    <row r="60">
      <c r="B60" t="inlineStr">
        <is>
          <t>🔴 陳族元</t>
        </is>
      </c>
      <c r="C60" t="inlineStr">
        <is>
          <t>3008</t>
        </is>
      </c>
      <c r="D60" s="45" t="n">
        <v>23</v>
      </c>
      <c r="E60" t="n">
        <v>1127222</v>
      </c>
      <c r="F60" t="inlineStr">
        <is>
          <t>陳族元 連續 23 天加碼 3008 (累計 1,127,222 萬)</t>
        </is>
      </c>
    </row>
    <row r="61">
      <c r="B61" s="40" t="inlineStr">
        <is>
          <t>🔴 張濬安(航海王)</t>
        </is>
      </c>
      <c r="C61" s="40" t="inlineStr">
        <is>
          <t>3017</t>
        </is>
      </c>
      <c r="D61" s="46" t="n">
        <v>23</v>
      </c>
      <c r="E61" s="40" t="n">
        <v>771591</v>
      </c>
      <c r="F61" s="40" t="inlineStr">
        <is>
          <t>張濬安(航海王) 連續 23 天加碼 3017 (累計 771,591 萬)</t>
        </is>
      </c>
    </row>
    <row r="62">
      <c r="B62" t="inlineStr">
        <is>
          <t>🔴 強森</t>
        </is>
      </c>
      <c r="C62" t="inlineStr">
        <is>
          <t>2308</t>
        </is>
      </c>
      <c r="D62" s="45" t="n">
        <v>23</v>
      </c>
      <c r="E62" t="n">
        <v>199572</v>
      </c>
      <c r="F62" t="inlineStr">
        <is>
          <t>強森 連續 23 天加碼 2308 (累計 199,572 萬)</t>
        </is>
      </c>
    </row>
    <row r="63">
      <c r="B63" s="40" t="inlineStr">
        <is>
          <t>🔴 蔣承翰</t>
        </is>
      </c>
      <c r="C63" s="40" t="inlineStr">
        <is>
          <t>2884</t>
        </is>
      </c>
      <c r="D63" s="46" t="n">
        <v>23</v>
      </c>
      <c r="E63" s="40" t="n">
        <v>181213</v>
      </c>
      <c r="F63" s="40" t="inlineStr">
        <is>
          <t>蔣承翰 連續 23 天加碼 2884 (累計 181,213 萬)</t>
        </is>
      </c>
    </row>
    <row r="64">
      <c r="B64" t="inlineStr">
        <is>
          <t>🔴 陳族元</t>
        </is>
      </c>
      <c r="C64" t="inlineStr">
        <is>
          <t>3443</t>
        </is>
      </c>
      <c r="D64" s="45" t="n">
        <v>22</v>
      </c>
      <c r="E64" t="n">
        <v>556457</v>
      </c>
      <c r="F64" t="inlineStr">
        <is>
          <t>陳族元 連續 22 天加碼 3443 (累計 556,457 萬)</t>
        </is>
      </c>
    </row>
    <row r="65">
      <c r="B65" s="40" t="inlineStr">
        <is>
          <t>🔴 強森</t>
        </is>
      </c>
      <c r="C65" s="40" t="inlineStr">
        <is>
          <t>8299</t>
        </is>
      </c>
      <c r="D65" s="46" t="n">
        <v>22</v>
      </c>
      <c r="E65" s="40" t="n">
        <v>117364</v>
      </c>
      <c r="F65" s="40" t="inlineStr">
        <is>
          <t>強森 連續 22 天加碼 8299 (累計 117,364 萬)</t>
        </is>
      </c>
    </row>
    <row r="67" ht="22" customHeight="1">
      <c r="B67" s="47" t="inlineStr">
        <is>
          <t>▍ J. Master × Top 3 個股 cross-table (今日)</t>
        </is>
      </c>
    </row>
    <row r="68">
      <c r="B68" s="48" t="inlineStr">
        <is>
          <t>Master</t>
        </is>
      </c>
      <c r="C68" s="48" t="inlineStr">
        <is>
          <t>今日總買(萬)</t>
        </is>
      </c>
      <c r="D68" s="48" t="inlineStr">
        <is>
          <t>Top1 個股</t>
        </is>
      </c>
      <c r="E68" s="48" t="inlineStr">
        <is>
          <t>Top1 金額</t>
        </is>
      </c>
      <c r="F68" s="48" t="inlineStr">
        <is>
          <t>Top2 個股</t>
        </is>
      </c>
      <c r="G68" s="48" t="inlineStr">
        <is>
          <t>Top2 金額</t>
        </is>
      </c>
      <c r="H68" s="48" t="inlineStr">
        <is>
          <t>Top3 個股</t>
        </is>
      </c>
      <c r="I68" s="48" t="inlineStr">
        <is>
          <t>Top3 金額</t>
        </is>
      </c>
      <c r="J68" s="48" t="inlineStr">
        <is>
          <t>Top3 合計%</t>
        </is>
      </c>
    </row>
    <row r="69">
      <c r="B69" s="32" t="inlineStr">
        <is>
          <t>張濬安(航海王)</t>
        </is>
      </c>
      <c r="C69" s="33" t="n">
        <v>1981621</v>
      </c>
      <c r="D69" t="inlineStr">
        <is>
          <t>景碩(3189)</t>
        </is>
      </c>
      <c r="E69" s="33" t="n">
        <v>310554</v>
      </c>
      <c r="F69" t="inlineStr">
        <is>
          <t>穩懋(3105)</t>
        </is>
      </c>
      <c r="G69" s="33" t="n">
        <v>181761</v>
      </c>
      <c r="H69" t="inlineStr">
        <is>
          <t>緯穎(6669)</t>
        </is>
      </c>
      <c r="I69" s="33" t="n">
        <v>175845</v>
      </c>
      <c r="J69" s="216" t="n">
        <v>0.337178451961064</v>
      </c>
    </row>
    <row r="70">
      <c r="B70" s="35" t="inlineStr">
        <is>
          <t>陳族元</t>
        </is>
      </c>
      <c r="C70" s="33" t="n">
        <v>1443898</v>
      </c>
      <c r="D70" t="inlineStr">
        <is>
          <t>欣興(3037)</t>
        </is>
      </c>
      <c r="E70" s="33" t="n">
        <v>123706</v>
      </c>
      <c r="F70" t="inlineStr">
        <is>
          <t>金像電(2368)</t>
        </is>
      </c>
      <c r="G70" s="33" t="n">
        <v>107986</v>
      </c>
      <c r="H70" t="inlineStr">
        <is>
          <t>臻鼎-KY(4958)</t>
        </is>
      </c>
      <c r="I70" s="33" t="n">
        <v>94068</v>
      </c>
      <c r="J70" s="216" t="n">
        <v>0.2256120673385749</v>
      </c>
    </row>
    <row r="71">
      <c r="B71" s="36" t="inlineStr">
        <is>
          <t>陳律師</t>
        </is>
      </c>
      <c r="C71" s="33" t="n">
        <v>551827</v>
      </c>
      <c r="D71" t="inlineStr">
        <is>
          <t>聯電(2303)</t>
        </is>
      </c>
      <c r="E71" s="33" t="n">
        <v>98006</v>
      </c>
      <c r="F71" t="inlineStr">
        <is>
          <t>臻鼎-KY(4958)</t>
        </is>
      </c>
      <c r="G71" s="33" t="n">
        <v>38262</v>
      </c>
      <c r="H71" t="inlineStr">
        <is>
          <t>健策(3653)</t>
        </is>
      </c>
      <c r="I71" s="33" t="n">
        <v>29426</v>
      </c>
      <c r="J71" s="216" t="n">
        <v>0.3002638508083149</v>
      </c>
    </row>
    <row r="72">
      <c r="B72" s="37" t="inlineStr">
        <is>
          <t>林滄海</t>
        </is>
      </c>
      <c r="C72" s="33" t="n">
        <v>511384</v>
      </c>
      <c r="D72" t="inlineStr">
        <is>
          <t>臻鼎-KY(4958)</t>
        </is>
      </c>
      <c r="E72" s="33" t="n">
        <v>146996</v>
      </c>
      <c r="F72" t="inlineStr">
        <is>
          <t>欣興(3037)</t>
        </is>
      </c>
      <c r="G72" s="33" t="n">
        <v>28980</v>
      </c>
      <c r="H72" t="inlineStr">
        <is>
          <t>合晶(6182)</t>
        </is>
      </c>
      <c r="I72" s="33" t="n">
        <v>27842</v>
      </c>
      <c r="J72" s="216" t="n">
        <v>0.3985614712712727</v>
      </c>
    </row>
    <row r="73">
      <c r="B73" s="38" t="inlineStr">
        <is>
          <t>蔣承翰</t>
        </is>
      </c>
      <c r="C73" s="33" t="n">
        <v>471476</v>
      </c>
      <c r="D73" t="inlineStr">
        <is>
          <t>欣興(3037)</t>
        </is>
      </c>
      <c r="E73" s="33" t="n">
        <v>56433</v>
      </c>
      <c r="F73" t="inlineStr">
        <is>
          <t>穩懋(3105)</t>
        </is>
      </c>
      <c r="G73" s="33" t="n">
        <v>54898</v>
      </c>
      <c r="H73" t="inlineStr">
        <is>
          <t>緯穎(6669)</t>
        </is>
      </c>
      <c r="I73" s="33" t="n">
        <v>50966</v>
      </c>
      <c r="J73" s="216" t="n">
        <v>0.3442317318378878</v>
      </c>
    </row>
    <row r="74">
      <c r="B74" s="50" t="inlineStr">
        <is>
          <t>🔥 巨人傑</t>
        </is>
      </c>
      <c r="C74" s="33" t="n">
        <v>386259</v>
      </c>
      <c r="D74" t="inlineStr">
        <is>
          <t>欣興(3037)</t>
        </is>
      </c>
      <c r="E74" s="33" t="n">
        <v>293922</v>
      </c>
      <c r="F74" t="inlineStr">
        <is>
          <t>景碩(3189)</t>
        </is>
      </c>
      <c r="G74" s="33" t="n">
        <v>18465</v>
      </c>
      <c r="H74" t="inlineStr">
        <is>
          <t>聯電(2303)</t>
        </is>
      </c>
      <c r="I74" s="33" t="n">
        <v>8473</v>
      </c>
      <c r="J74" s="217" t="n">
        <v>0.8306864882749536</v>
      </c>
    </row>
    <row r="75">
      <c r="B75" s="52" t="inlineStr">
        <is>
          <t>強森</t>
        </is>
      </c>
      <c r="C75" s="33" t="n">
        <v>304089</v>
      </c>
      <c r="D75" t="inlineStr">
        <is>
          <t>南亞科(2408)</t>
        </is>
      </c>
      <c r="E75" s="33" t="n">
        <v>22098</v>
      </c>
      <c r="F75" t="inlineStr">
        <is>
          <t>台積電(2330)</t>
        </is>
      </c>
      <c r="G75" s="33" t="n">
        <v>21330</v>
      </c>
      <c r="H75" t="inlineStr">
        <is>
          <t>台達電(2308)</t>
        </is>
      </c>
      <c r="I75" s="33" t="n">
        <v>20330</v>
      </c>
      <c r="J75" s="216" t="n">
        <v>0.2096682910819829</v>
      </c>
    </row>
    <row r="76">
      <c r="B76" s="53" t="inlineStr">
        <is>
          <t>竹科主力分點</t>
        </is>
      </c>
      <c r="C76" s="33" t="n">
        <v>143138</v>
      </c>
      <c r="D76" t="inlineStr">
        <is>
          <t>創意(3443)</t>
        </is>
      </c>
      <c r="E76" s="33" t="n">
        <v>27554</v>
      </c>
      <c r="F76" t="inlineStr">
        <is>
          <t>南亞科(2408)</t>
        </is>
      </c>
      <c r="G76" s="33" t="n">
        <v>20139</v>
      </c>
      <c r="H76" t="inlineStr">
        <is>
          <t>華邦電(2344)</t>
        </is>
      </c>
      <c r="I76" s="33" t="n">
        <v>8595</v>
      </c>
      <c r="J76" s="216" t="n">
        <v>0.3932447056374229</v>
      </c>
    </row>
    <row r="77">
      <c r="B77" s="54" t="inlineStr">
        <is>
          <t>民哥</t>
        </is>
      </c>
      <c r="C77" s="33" t="n">
        <v>114460</v>
      </c>
      <c r="D77" t="inlineStr">
        <is>
          <t>南亞科(2408)</t>
        </is>
      </c>
      <c r="E77" s="33" t="n">
        <v>11115</v>
      </c>
      <c r="F77" t="inlineStr">
        <is>
          <t>創意(3443)</t>
        </is>
      </c>
      <c r="G77" s="33" t="n">
        <v>10552</v>
      </c>
      <c r="H77" t="inlineStr">
        <is>
          <t>華邦電(2344)</t>
        </is>
      </c>
      <c r="I77" s="33" t="n">
        <v>10272</v>
      </c>
      <c r="J77" s="216" t="n">
        <v>0.279042846334359</v>
      </c>
    </row>
    <row r="78">
      <c r="B78" s="55" t="inlineStr">
        <is>
          <t>布哥/n_nchang</t>
        </is>
      </c>
      <c r="C78" s="33" t="n">
        <v>103124</v>
      </c>
      <c r="D78" t="inlineStr">
        <is>
          <t>信驊(5274)</t>
        </is>
      </c>
      <c r="E78" s="33" t="n">
        <v>17048</v>
      </c>
      <c r="F78" t="inlineStr">
        <is>
          <t>南亞科(2408)</t>
        </is>
      </c>
      <c r="G78" s="33" t="n">
        <v>9965</v>
      </c>
      <c r="H78" t="inlineStr">
        <is>
          <t>鼎元(2426)</t>
        </is>
      </c>
      <c r="I78" s="33" t="n">
        <v>8045</v>
      </c>
      <c r="J78" s="216" t="n">
        <v>0.3399589816193048</v>
      </c>
    </row>
    <row r="79">
      <c r="B79" s="56" t="inlineStr">
        <is>
          <t>大牌分析師</t>
        </is>
      </c>
      <c r="C79" s="33" t="n">
        <v>77344</v>
      </c>
      <c r="D79" t="inlineStr">
        <is>
          <t>大立光(3008)</t>
        </is>
      </c>
      <c r="E79" s="33" t="n">
        <v>9041</v>
      </c>
      <c r="F79" t="inlineStr">
        <is>
          <t>穩懋(3105)</t>
        </is>
      </c>
      <c r="G79" s="33" t="n">
        <v>8529</v>
      </c>
      <c r="H79" t="inlineStr">
        <is>
          <t>玉晶光(3406)</t>
        </is>
      </c>
      <c r="I79" s="33" t="n">
        <v>7773</v>
      </c>
      <c r="J79" s="216" t="n">
        <v>0.3276668369029072</v>
      </c>
    </row>
    <row r="80">
      <c r="B80" s="57" t="inlineStr">
        <is>
          <t>Tradow</t>
        </is>
      </c>
      <c r="C80" s="33" t="n">
        <v>69738</v>
      </c>
      <c r="D80" t="inlineStr">
        <is>
          <t>臻鼎-KY(4958)</t>
        </is>
      </c>
      <c r="E80" s="33" t="n">
        <v>5529</v>
      </c>
      <c r="F80" t="inlineStr">
        <is>
          <t>南電(8046)</t>
        </is>
      </c>
      <c r="G80" s="33" t="n">
        <v>5028</v>
      </c>
      <c r="H80" t="inlineStr">
        <is>
          <t>京元電子(2449)</t>
        </is>
      </c>
      <c r="I80" s="33" t="n">
        <v>4507</v>
      </c>
      <c r="J80" s="216" t="n">
        <v>0.2160040723560157</v>
      </c>
    </row>
    <row r="81">
      <c r="B81" s="58" t="inlineStr">
        <is>
          <t>迷你哥/松山哥</t>
        </is>
      </c>
      <c r="C81" s="33" t="n">
        <v>57040</v>
      </c>
      <c r="D81" t="inlineStr">
        <is>
          <t>聯發科(2454)</t>
        </is>
      </c>
      <c r="E81" s="33" t="n">
        <v>21905</v>
      </c>
      <c r="F81" t="inlineStr">
        <is>
          <t>南亞科(2408)</t>
        </is>
      </c>
      <c r="G81" s="33" t="n">
        <v>13641</v>
      </c>
      <c r="H81" t="inlineStr">
        <is>
          <t>禾伸堂(3026)</t>
        </is>
      </c>
      <c r="I81" s="33" t="n">
        <v>5728</v>
      </c>
      <c r="J81" s="216" t="n">
        <v>0.723609747545582</v>
      </c>
    </row>
    <row r="83" ht="22" customHeight="1">
      <c r="B83" s="59" t="inlineStr">
        <is>
          <t>▍ G. 注意股 (資料日 20260901)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s="61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20260901)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2344</t>
        </is>
      </c>
      <c r="C89" t="inlineStr">
        <is>
          <t>華邦電</t>
        </is>
      </c>
      <c r="D89" s="33" t="n">
        <v>22390</v>
      </c>
      <c r="E89" s="33" t="n">
        <v>206</v>
      </c>
      <c r="F89" s="218" t="n">
        <v>108.69</v>
      </c>
    </row>
    <row r="90">
      <c r="B90" s="40" t="inlineStr">
        <is>
          <t>2887</t>
        </is>
      </c>
      <c r="C90" s="40" t="inlineStr">
        <is>
          <t>台新新光金</t>
        </is>
      </c>
      <c r="D90" s="63" t="n">
        <v>12167</v>
      </c>
      <c r="E90" s="63" t="n">
        <v>117</v>
      </c>
      <c r="F90" s="219" t="n">
        <v>103.99</v>
      </c>
    </row>
    <row r="91">
      <c r="B91" t="inlineStr">
        <is>
          <t>00712</t>
        </is>
      </c>
      <c r="C91" t="inlineStr">
        <is>
          <t>復華富時不動產</t>
        </is>
      </c>
      <c r="D91" s="33" t="n">
        <v>12014</v>
      </c>
      <c r="E91" s="33" t="n">
        <v>0</v>
      </c>
      <c r="F91" t="inlineStr">
        <is>
          <t>—</t>
        </is>
      </c>
    </row>
    <row r="92">
      <c r="B92" s="46" t="inlineStr">
        <is>
          <t>🔴 00918</t>
        </is>
      </c>
      <c r="C92" s="40" t="inlineStr">
        <is>
          <t>大華優利高填息30</t>
        </is>
      </c>
      <c r="D92" s="63" t="n">
        <v>8102</v>
      </c>
      <c r="E92" s="63" t="n">
        <v>1</v>
      </c>
      <c r="F92" s="220" t="n">
        <v>8102</v>
      </c>
    </row>
    <row r="93">
      <c r="B93" t="inlineStr">
        <is>
          <t>2891</t>
        </is>
      </c>
      <c r="C93" t="inlineStr">
        <is>
          <t>中信金</t>
        </is>
      </c>
      <c r="D93" s="33" t="n">
        <v>6281</v>
      </c>
      <c r="E93" s="33" t="n">
        <v>21</v>
      </c>
      <c r="F93" s="218" t="n">
        <v>299.1</v>
      </c>
    </row>
    <row r="94">
      <c r="B94" s="40" t="inlineStr">
        <is>
          <t>2880</t>
        </is>
      </c>
      <c r="C94" s="40" t="inlineStr">
        <is>
          <t>華南金</t>
        </is>
      </c>
      <c r="D94" s="63" t="n">
        <v>5437</v>
      </c>
      <c r="E94" s="63" t="n">
        <v>36</v>
      </c>
      <c r="F94" s="219" t="n">
        <v>151.03</v>
      </c>
    </row>
    <row r="95">
      <c r="B95" t="inlineStr">
        <is>
          <t>6770</t>
        </is>
      </c>
      <c r="C95" t="inlineStr">
        <is>
          <t>力積電</t>
        </is>
      </c>
      <c r="D95" s="33" t="n">
        <v>5296</v>
      </c>
      <c r="E95" s="33" t="n">
        <v>84</v>
      </c>
      <c r="F95" s="218" t="n">
        <v>63.05</v>
      </c>
    </row>
    <row r="96">
      <c r="B96" s="46" t="inlineStr">
        <is>
          <t>🔴 2884</t>
        </is>
      </c>
      <c r="C96" s="40" t="inlineStr">
        <is>
          <t>玉山金</t>
        </is>
      </c>
      <c r="D96" s="63" t="n">
        <v>5273</v>
      </c>
      <c r="E96" s="63" t="n">
        <v>2</v>
      </c>
      <c r="F96" s="220" t="n">
        <v>2636.5</v>
      </c>
    </row>
    <row r="97">
      <c r="B97" t="inlineStr">
        <is>
          <t>2881</t>
        </is>
      </c>
      <c r="C97" t="inlineStr">
        <is>
          <t>富邦金</t>
        </is>
      </c>
      <c r="D97" s="33" t="n">
        <v>3928</v>
      </c>
      <c r="E97" s="33" t="n">
        <v>7</v>
      </c>
      <c r="F97" s="218" t="n">
        <v>561.14</v>
      </c>
    </row>
    <row r="98">
      <c r="B98" s="40" t="inlineStr">
        <is>
          <t>1409</t>
        </is>
      </c>
      <c r="C98" s="40" t="inlineStr">
        <is>
          <t>新纖</t>
        </is>
      </c>
      <c r="D98" s="63" t="n">
        <v>3568</v>
      </c>
      <c r="E98" s="63" t="n">
        <v>73</v>
      </c>
      <c r="F98" s="219" t="n">
        <v>48.88</v>
      </c>
    </row>
    <row r="99">
      <c r="B99" t="inlineStr">
        <is>
          <t>00919</t>
        </is>
      </c>
      <c r="C99" t="inlineStr">
        <is>
          <t>群益台灣精選高息</t>
        </is>
      </c>
      <c r="D99" s="33" t="n">
        <v>3221</v>
      </c>
      <c r="E99" s="33" t="n">
        <v>12</v>
      </c>
      <c r="F99" s="218" t="n">
        <v>268.42</v>
      </c>
    </row>
    <row r="100">
      <c r="B100" s="40" t="inlineStr">
        <is>
          <t>3231</t>
        </is>
      </c>
      <c r="C100" s="40" t="inlineStr">
        <is>
          <t>緯創</t>
        </is>
      </c>
      <c r="D100" s="63" t="n">
        <v>3048</v>
      </c>
      <c r="E100" s="63" t="n">
        <v>32</v>
      </c>
      <c r="F100" s="219" t="n">
        <v>95.25</v>
      </c>
    </row>
    <row r="101">
      <c r="B101" t="inlineStr">
        <is>
          <t>00953B</t>
        </is>
      </c>
      <c r="C101" t="inlineStr">
        <is>
          <t>群益優選非投等債</t>
        </is>
      </c>
      <c r="D101" s="33" t="n">
        <v>3020</v>
      </c>
      <c r="E101" s="33" t="n">
        <v>0</v>
      </c>
      <c r="F101" t="inlineStr">
        <is>
          <t>—</t>
        </is>
      </c>
    </row>
    <row r="102">
      <c r="B102" s="40" t="inlineStr">
        <is>
          <t>1718</t>
        </is>
      </c>
      <c r="C102" s="40" t="inlineStr">
        <is>
          <t>中纖</t>
        </is>
      </c>
      <c r="D102" s="63" t="n">
        <v>2730</v>
      </c>
      <c r="E102" s="63" t="n">
        <v>20</v>
      </c>
      <c r="F102" s="219" t="n">
        <v>136.5</v>
      </c>
    </row>
    <row r="103">
      <c r="B103" t="inlineStr">
        <is>
          <t>00981A</t>
        </is>
      </c>
      <c r="C103" t="inlineStr">
        <is>
          <t>主動統一台股增長</t>
        </is>
      </c>
      <c r="D103" s="33" t="n">
        <v>2645</v>
      </c>
      <c r="E103" s="33" t="n">
        <v>471</v>
      </c>
      <c r="F103" s="218" t="n">
        <v>5.62</v>
      </c>
    </row>
    <row r="105" ht="22" customHeight="1">
      <c r="B105" s="65" t="inlineStr">
        <is>
          <t>▍ I. 未來 30 天除權息 (有效 63 檔, 已剔除過期)</t>
        </is>
      </c>
    </row>
    <row r="106">
      <c r="B106" s="60" t="inlineStr">
        <is>
          <t>除權息日</t>
        </is>
      </c>
      <c r="C106" s="60" t="inlineStr">
        <is>
          <t>代號</t>
        </is>
      </c>
      <c r="D106" s="60" t="inlineStr">
        <is>
          <t>名稱</t>
        </is>
      </c>
      <c r="E106" s="60" t="inlineStr">
        <is>
          <t>類型</t>
        </is>
      </c>
      <c r="F106" s="60" t="inlineStr">
        <is>
          <t>現金股利</t>
        </is>
      </c>
    </row>
    <row r="107">
      <c r="B107" t="inlineStr">
        <is>
          <t>20260901</t>
        </is>
      </c>
      <c r="C107" t="inlineStr">
        <is>
          <t>00939</t>
        </is>
      </c>
      <c r="D107" t="inlineStr">
        <is>
          <t>統一台灣高息動能</t>
        </is>
      </c>
      <c r="E107" t="inlineStr">
        <is>
          <t>息</t>
        </is>
      </c>
      <c r="F107" t="n">
        <v>0.125</v>
      </c>
    </row>
    <row r="108">
      <c r="B108" s="40" t="inlineStr">
        <is>
          <t>20260901</t>
        </is>
      </c>
      <c r="C108" s="40" t="inlineStr">
        <is>
          <t>00984D</t>
        </is>
      </c>
      <c r="D108" s="40" t="inlineStr">
        <is>
          <t>主動聯博全球非投</t>
        </is>
      </c>
      <c r="E108" s="40" t="inlineStr">
        <is>
          <t>息</t>
        </is>
      </c>
      <c r="F108" s="40" t="n">
        <v>0.08500000000000001</v>
      </c>
    </row>
    <row r="109">
      <c r="B109" t="inlineStr">
        <is>
          <t>20260901</t>
        </is>
      </c>
      <c r="C109" t="inlineStr">
        <is>
          <t>1732</t>
        </is>
      </c>
      <c r="D109" t="inlineStr">
        <is>
          <t>毛寶</t>
        </is>
      </c>
      <c r="E109" t="inlineStr">
        <is>
          <t>息</t>
        </is>
      </c>
      <c r="F109" t="n">
        <v>0.6</v>
      </c>
    </row>
    <row r="110">
      <c r="B110" s="40" t="inlineStr">
        <is>
          <t>20260901</t>
        </is>
      </c>
      <c r="C110" s="40" t="inlineStr">
        <is>
          <t>1783</t>
        </is>
      </c>
      <c r="D110" s="40" t="inlineStr">
        <is>
          <t>和康生</t>
        </is>
      </c>
      <c r="E110" s="40" t="inlineStr">
        <is>
          <t>息</t>
        </is>
      </c>
      <c r="F110" s="40" t="n">
        <v>1.999598</v>
      </c>
    </row>
    <row r="111">
      <c r="B111" t="inlineStr">
        <is>
          <t>20260901</t>
        </is>
      </c>
      <c r="C111" t="inlineStr">
        <is>
          <t>2701</t>
        </is>
      </c>
      <c r="D111" t="inlineStr">
        <is>
          <t>萬企</t>
        </is>
      </c>
      <c r="E111" t="inlineStr">
        <is>
          <t>息</t>
        </is>
      </c>
      <c r="F111" t="n">
        <v>0.28</v>
      </c>
    </row>
    <row r="112">
      <c r="B112" s="40" t="inlineStr">
        <is>
          <t>20260901</t>
        </is>
      </c>
      <c r="C112" s="40" t="inlineStr">
        <is>
          <t>2889</t>
        </is>
      </c>
      <c r="D112" s="40" t="inlineStr">
        <is>
          <t>國票金</t>
        </is>
      </c>
      <c r="E112" s="40" t="inlineStr">
        <is>
          <t>權息</t>
        </is>
      </c>
      <c r="F112" s="40" t="n">
        <v>0.5</v>
      </c>
    </row>
    <row r="113">
      <c r="B113" t="inlineStr">
        <is>
          <t>20260901</t>
        </is>
      </c>
      <c r="C113" t="inlineStr">
        <is>
          <t>3052</t>
        </is>
      </c>
      <c r="D113" t="inlineStr">
        <is>
          <t>夆典</t>
        </is>
      </c>
      <c r="E113" t="inlineStr">
        <is>
          <t>息</t>
        </is>
      </c>
      <c r="F113" t="n">
        <v>0.6</v>
      </c>
    </row>
    <row r="114">
      <c r="B114" s="40" t="inlineStr">
        <is>
          <t>20260901</t>
        </is>
      </c>
      <c r="C114" s="40" t="inlineStr">
        <is>
          <t>3135</t>
        </is>
      </c>
      <c r="D114" s="40" t="inlineStr">
        <is>
          <t>凌航</t>
        </is>
      </c>
      <c r="E114" s="40" t="inlineStr">
        <is>
          <t>權息</t>
        </is>
      </c>
      <c r="F114" s="40" t="n">
        <v>3.258584</v>
      </c>
    </row>
    <row r="115">
      <c r="B115" t="inlineStr">
        <is>
          <t>20260901</t>
        </is>
      </c>
      <c r="C115" t="inlineStr">
        <is>
          <t>3416</t>
        </is>
      </c>
      <c r="D115" t="inlineStr">
        <is>
          <t>融程電</t>
        </is>
      </c>
      <c r="E115" t="inlineStr">
        <is>
          <t>權</t>
        </is>
      </c>
      <c r="F115" t="n">
        <v>0</v>
      </c>
    </row>
    <row r="116">
      <c r="B116" s="40" t="inlineStr">
        <is>
          <t>20260901</t>
        </is>
      </c>
      <c r="C116" s="40" t="inlineStr">
        <is>
          <t>4977</t>
        </is>
      </c>
      <c r="D116" s="40" t="inlineStr">
        <is>
          <t>眾達-KY</t>
        </is>
      </c>
      <c r="E116" s="40" t="inlineStr">
        <is>
          <t>權</t>
        </is>
      </c>
      <c r="F116" s="40" t="n">
        <v>0</v>
      </c>
    </row>
    <row r="117">
      <c r="B117" t="inlineStr">
        <is>
          <t>20260901</t>
        </is>
      </c>
      <c r="C117" t="inlineStr">
        <is>
          <t>6534</t>
        </is>
      </c>
      <c r="D117" t="inlineStr">
        <is>
          <t>正瀚-創</t>
        </is>
      </c>
      <c r="E117" t="inlineStr">
        <is>
          <t>息</t>
        </is>
      </c>
      <c r="F117" t="n">
        <v>1.008501</v>
      </c>
    </row>
    <row r="118">
      <c r="B118" s="40" t="inlineStr">
        <is>
          <t>20260901</t>
        </is>
      </c>
      <c r="C118" s="40" t="inlineStr">
        <is>
          <t>9941</t>
        </is>
      </c>
      <c r="D118" s="40" t="inlineStr">
        <is>
          <t>裕融</t>
        </is>
      </c>
      <c r="E118" s="40" t="inlineStr">
        <is>
          <t>權息</t>
        </is>
      </c>
      <c r="F118" s="40" t="n">
        <v>4.38</v>
      </c>
    </row>
    <row r="119">
      <c r="B119" t="inlineStr">
        <is>
          <t>20260901</t>
        </is>
      </c>
      <c r="C119" t="inlineStr">
        <is>
          <t>9941A</t>
        </is>
      </c>
      <c r="D119" t="inlineStr">
        <is>
          <t>裕融甲特</t>
        </is>
      </c>
      <c r="E119" t="inlineStr">
        <is>
          <t>息</t>
        </is>
      </c>
      <c r="F119" t="n">
        <v>2.339375</v>
      </c>
    </row>
    <row r="120">
      <c r="B120" s="40" t="inlineStr">
        <is>
          <t>20260902</t>
        </is>
      </c>
      <c r="C120" s="40" t="inlineStr">
        <is>
          <t>00406A</t>
        </is>
      </c>
      <c r="D120" s="40" t="inlineStr">
        <is>
          <t>主動中信台灣收益</t>
        </is>
      </c>
      <c r="E120" s="40" t="inlineStr">
        <is>
          <t>息</t>
        </is>
      </c>
      <c r="F120" s="40" t="n">
        <v>0.138</v>
      </c>
    </row>
    <row r="121">
      <c r="B121" t="inlineStr">
        <is>
          <t>20260902</t>
        </is>
      </c>
      <c r="C121" t="inlineStr">
        <is>
          <t>00946</t>
        </is>
      </c>
      <c r="D121" t="inlineStr">
        <is>
          <t>群益科技高息成長</t>
        </is>
      </c>
      <c r="E121" t="inlineStr">
        <is>
          <t>息</t>
        </is>
      </c>
      <c r="F121" t="n">
        <v>0.058</v>
      </c>
    </row>
  </sheetData>
  <mergeCells count="29">
    <mergeCell ref="C30:D30"/>
    <mergeCell ref="B67:J67"/>
    <mergeCell ref="B9:N9"/>
    <mergeCell ref="B33:N33"/>
    <mergeCell ref="G30:I30"/>
    <mergeCell ref="B56:F56"/>
    <mergeCell ref="B44:J44"/>
    <mergeCell ref="B29:J29"/>
    <mergeCell ref="B87:J87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85:F85"/>
    <mergeCell ref="B105:J105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2026/09/01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221" t="inlineStr">
        <is>
          <t>⭐ Quad 命中 (78.9% alpha)</t>
        </is>
      </c>
    </row>
    <row r="8">
      <c r="C8" s="222" t="inlineStr">
        <is>
          <t>⭐⭐ 南亞科 (2408) · 12 大戶</t>
        </is>
      </c>
    </row>
    <row r="9">
      <c r="C9" s="222" t="inlineStr">
        <is>
          <t>⭐⭐ 金像電 (2368) · 10 大戶</t>
        </is>
      </c>
    </row>
    <row r="10">
      <c r="C10" s="222" t="inlineStr">
        <is>
          <t>⭐⭐ 華邦電 (2344) · 13 大戶</t>
        </is>
      </c>
    </row>
    <row r="11">
      <c r="C11" s="222" t="inlineStr">
        <is>
          <t>⭐⭐ 南電 (8046) · 10 大戶</t>
        </is>
      </c>
    </row>
    <row r="12">
      <c r="C12" s="222" t="inlineStr">
        <is>
          <t>⭐⭐ 藥華藥 (6446) · 11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⭐⭐ 南亞科 (2408) · 12 大戶</t>
        </is>
      </c>
    </row>
    <row r="16">
      <c r="C16" s="69" t="inlineStr">
        <is>
          <t>⭐⭐ 金像電 (2368) · 10 大戶</t>
        </is>
      </c>
    </row>
    <row r="17">
      <c r="C17" s="69" t="inlineStr">
        <is>
          <t>⭐⭐ 華邦電 (2344) · 13 大戶</t>
        </is>
      </c>
    </row>
    <row r="18">
      <c r="C18" s="69" t="inlineStr">
        <is>
          <t>⭐⭐ 南電 (8046) · 10 大戶</t>
        </is>
      </c>
    </row>
    <row r="19">
      <c r="C19" s="69" t="inlineStr">
        <is>
          <t>⭐⭐ 藥華藥 (6446) · 11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6 檔 (50%)</t>
        </is>
      </c>
    </row>
    <row r="23">
      <c r="C23" s="69" t="inlineStr">
        <is>
          <t>電子零組件業 · 3 檔 (25%)</t>
        </is>
      </c>
    </row>
    <row r="24">
      <c r="C24" s="69" t="inlineStr">
        <is>
          <t>塑膠工業 · 2 檔 (17%)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大立光 (3008) · 9,041 萬</t>
        </is>
      </c>
    </row>
    <row r="28">
      <c r="C28" s="69" t="inlineStr">
        <is>
          <t>穩懋 (3105) · 8,529 萬</t>
        </is>
      </c>
    </row>
    <row r="29">
      <c r="C29" s="69" t="inlineStr">
        <is>
          <t>玉晶光 (3406) · 7,773 萬</t>
        </is>
      </c>
    </row>
    <row r="31">
      <c r="C31" s="67" t="inlineStr">
        <is>
          <t>🚫 今日避開</t>
        </is>
      </c>
    </row>
    <row r="32">
      <c r="C32" s="69" t="inlineStr">
        <is>
          <t>除權息 13 檔 (00939 / 00984D / 1732 ...)</t>
        </is>
      </c>
    </row>
    <row r="33">
      <c r="C33" s="69" t="inlineStr">
        <is>
          <t>明日恐處置 3 檔 (3625 / 4304 / 4971)</t>
        </is>
      </c>
    </row>
    <row r="35">
      <c r="C35" s="67" t="inlineStr">
        <is>
          <t>📊 追蹤池方向</t>
        </is>
      </c>
    </row>
    <row r="36" ht="22" customHeight="1">
      <c r="C36" s="73" t="inlineStr">
        <is>
          <t>-23 億 淨買</t>
        </is>
      </c>
    </row>
    <row r="37">
      <c r="C37" s="71" t="inlineStr">
        <is>
          <t>比昨 -177 反彈 / 比 5d -99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14/49 = 28.6% (mean -1.02%)   |  30d: 14/49 = 28.6%  |  預期 78.9% (delta -50.3pp)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2026/08/28</t>
        </is>
      </c>
      <c r="C6" s="77" t="inlineStr">
        <is>
          <t>08/31</t>
        </is>
      </c>
      <c r="D6" s="78" t="inlineStr">
        <is>
          <t>偏多</t>
        </is>
      </c>
      <c r="E6" s="71" t="inlineStr">
        <is>
          <t>Tradow, 巨人傑, 強森</t>
        </is>
      </c>
      <c r="F6" s="77" t="n">
        <v>7</v>
      </c>
      <c r="G6" s="79" t="n">
        <v>3</v>
      </c>
      <c r="H6" s="223" t="n">
        <v>42.86</v>
      </c>
      <c r="I6" s="224" t="n">
        <v>-1.24</v>
      </c>
      <c r="J6" s="71" t="inlineStr">
        <is>
          <t>南亞科(2408) +0.6% / 景碩(3189) -8.9% / 華邦電(2344) +0.6% +4</t>
        </is>
      </c>
    </row>
    <row r="7">
      <c r="B7" s="77" t="inlineStr">
        <is>
          <t>2026/08/27</t>
        </is>
      </c>
      <c r="C7" s="77" t="inlineStr">
        <is>
          <t>08/28</t>
        </is>
      </c>
      <c r="D7" s="78" t="inlineStr">
        <is>
          <t>偏多</t>
        </is>
      </c>
      <c r="E7" s="71" t="inlineStr">
        <is>
          <t>竹科主力分點</t>
        </is>
      </c>
      <c r="F7" s="77" t="n">
        <v>9</v>
      </c>
      <c r="G7" s="82" t="n">
        <v>5</v>
      </c>
      <c r="H7" s="225" t="n">
        <v>55.56</v>
      </c>
      <c r="I7" s="226" t="n">
        <v>2.58</v>
      </c>
      <c r="J7" s="71" t="inlineStr">
        <is>
          <t>聯電(2303) +9.7% / 頎邦(6147) -2.7% / 台光電(2383) -0.2% +6</t>
        </is>
      </c>
    </row>
    <row r="8">
      <c r="B8" s="77" t="inlineStr">
        <is>
          <t>2026/08/17</t>
        </is>
      </c>
      <c r="C8" s="77" t="inlineStr">
        <is>
          <t>08/18</t>
        </is>
      </c>
      <c r="D8" s="78" t="inlineStr">
        <is>
          <t>偏多</t>
        </is>
      </c>
      <c r="E8" s="71" t="inlineStr">
        <is>
          <t>Tradow, 林滄海</t>
        </is>
      </c>
      <c r="F8" s="77" t="n">
        <v>13</v>
      </c>
      <c r="G8" s="79" t="n">
        <v>0</v>
      </c>
      <c r="H8" s="223" t="n">
        <v>0</v>
      </c>
      <c r="I8" s="224" t="n">
        <v>-3.85</v>
      </c>
      <c r="J8" s="71" t="inlineStr">
        <is>
          <t>南亞(1303) -0.2% / 聯發科(2454) -4.1% / 鴻海(2317) -2.4% +10</t>
        </is>
      </c>
    </row>
    <row r="9">
      <c r="B9" s="77" t="inlineStr">
        <is>
          <t>2026/08/14</t>
        </is>
      </c>
      <c r="C9" s="77" t="inlineStr">
        <is>
          <t>08/17</t>
        </is>
      </c>
      <c r="D9" s="78" t="inlineStr">
        <is>
          <t>偏多</t>
        </is>
      </c>
      <c r="E9" s="71" t="inlineStr">
        <is>
          <t>巨人傑</t>
        </is>
      </c>
      <c r="F9" s="77" t="n">
        <v>10</v>
      </c>
      <c r="G9" s="79" t="n">
        <v>3</v>
      </c>
      <c r="H9" s="223" t="n">
        <v>30</v>
      </c>
      <c r="I9" s="224" t="n">
        <v>-0.73</v>
      </c>
      <c r="J9" s="71" t="inlineStr">
        <is>
          <t>群聯(8299) +0.2% / 國巨*(2327) -2.2% / 合晶(6182) +9.9% +7</t>
        </is>
      </c>
    </row>
    <row r="10">
      <c r="B10" s="77" t="inlineStr">
        <is>
          <t>2026/08/13</t>
        </is>
      </c>
      <c r="C10" s="77" t="inlineStr">
        <is>
          <t>08/14</t>
        </is>
      </c>
      <c r="D10" s="78" t="inlineStr">
        <is>
          <t>偏多</t>
        </is>
      </c>
      <c r="E10" s="71" t="inlineStr">
        <is>
          <t>迷你哥/松山哥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京元電子(2449) -2.6% / 鴻海(2317) -0.9% / 嘉澤(3533) -5.0% +7</t>
        </is>
      </c>
    </row>
    <row r="12">
      <c r="B12" s="85" t="inlineStr">
        <is>
          <t>Per-Master Vol_Spike 可靠度 (排序 by 命中率)</t>
        </is>
      </c>
    </row>
    <row r="13">
      <c r="B13" s="76" t="inlineStr">
        <is>
          <t>Master</t>
        </is>
      </c>
      <c r="C13" s="76" t="inlineStr">
        <is>
          <t>trigger days</t>
        </is>
      </c>
      <c r="D13" s="76" t="inlineStr">
        <is>
          <t>all picks</t>
        </is>
      </c>
      <c r="E13" s="76" t="inlineStr">
        <is>
          <t>hits</t>
        </is>
      </c>
      <c r="F13" s="76" t="inlineStr">
        <is>
          <t>命中率</t>
        </is>
      </c>
      <c r="G13" s="76" t="inlineStr">
        <is>
          <t>mean%</t>
        </is>
      </c>
    </row>
    <row r="14">
      <c r="B14" s="77" t="inlineStr">
        <is>
          <t>竹科主力分點</t>
        </is>
      </c>
      <c r="C14" s="86" t="n">
        <v>1</v>
      </c>
      <c r="D14" s="86" t="n">
        <v>9</v>
      </c>
      <c r="E14" s="86" t="n">
        <v>5</v>
      </c>
      <c r="F14" s="227" t="n">
        <v>55.55555555555556</v>
      </c>
      <c r="G14" s="226" t="n">
        <v>2.577777777777778</v>
      </c>
    </row>
    <row r="15">
      <c r="B15" s="77" t="inlineStr">
        <is>
          <t>強森</t>
        </is>
      </c>
      <c r="C15" s="86" t="n">
        <v>1</v>
      </c>
      <c r="D15" s="86" t="n">
        <v>7</v>
      </c>
      <c r="E15" s="86" t="n">
        <v>3</v>
      </c>
      <c r="F15" s="227" t="n">
        <v>42.85714285714285</v>
      </c>
      <c r="G15" s="224" t="n">
        <v>-1.24</v>
      </c>
    </row>
    <row r="16">
      <c r="B16" s="77" t="inlineStr">
        <is>
          <t>巨人傑</t>
        </is>
      </c>
      <c r="C16" s="86" t="n">
        <v>2</v>
      </c>
      <c r="D16" s="86" t="n">
        <v>17</v>
      </c>
      <c r="E16" s="86" t="n">
        <v>6</v>
      </c>
      <c r="F16" s="227" t="n">
        <v>35.29411764705883</v>
      </c>
      <c r="G16" s="224" t="n">
        <v>-0.9411764705882353</v>
      </c>
    </row>
    <row r="17">
      <c r="B17" s="77" t="inlineStr">
        <is>
          <t>迷你哥/松山哥</t>
        </is>
      </c>
      <c r="C17" s="86" t="n">
        <v>1</v>
      </c>
      <c r="D17" s="86" t="n">
        <v>10</v>
      </c>
      <c r="E17" s="86" t="n">
        <v>3</v>
      </c>
      <c r="F17" s="227" t="n">
        <v>30</v>
      </c>
      <c r="G17" s="224" t="n">
        <v>-0.7270000000000001</v>
      </c>
    </row>
    <row r="18">
      <c r="B18" s="77" t="inlineStr">
        <is>
          <t>Tradow</t>
        </is>
      </c>
      <c r="C18" s="86" t="n">
        <v>2</v>
      </c>
      <c r="D18" s="86" t="n">
        <v>12</v>
      </c>
      <c r="E18" s="86" t="n">
        <v>3</v>
      </c>
      <c r="F18" s="227" t="n">
        <v>25</v>
      </c>
      <c r="G18" s="224" t="n">
        <v>-2.308333333333334</v>
      </c>
    </row>
    <row r="19">
      <c r="B19" s="77" t="inlineStr">
        <is>
          <t>林滄海</t>
        </is>
      </c>
      <c r="C19" s="86" t="n">
        <v>1</v>
      </c>
      <c r="D19" s="86" t="n">
        <v>13</v>
      </c>
      <c r="E19" s="86" t="n">
        <v>0</v>
      </c>
      <c r="F19" s="227" t="n">
        <v>0</v>
      </c>
      <c r="G19" s="224" t="n">
        <v>-3.85076923076923</v>
      </c>
    </row>
    <row r="21" ht="70" customHeight="1">
      <c r="B21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2"/>
    <row r="23"/>
    <row r="24"/>
  </sheetData>
  <mergeCells count="2">
    <mergeCell ref="B3:J3"/>
    <mergeCell ref="B21:J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4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35/49 (71.4%) | 預期 miss rate 21.1% | 差異 +50.3pp</t>
        </is>
      </c>
    </row>
    <row r="4" ht="18" customHeight="1">
      <c r="B4" s="90" t="inlineStr">
        <is>
          <t>歸因分布: 個股弱勢 (跑輸大盤 &gt;2pp): 20 | alpha noise (個股無系統性原因): 8 | 假共識 (領頭獨佔 ≥50%): 5 | TAIEX 資料缺, 歸因不全: 4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7" t="inlineStr">
        <is>
          <t>景碩(3189)</t>
        </is>
      </c>
      <c r="E7" s="224" t="n">
        <v>-8.9</v>
      </c>
      <c r="F7" s="71" t="inlineStr">
        <is>
          <t>N/A</t>
        </is>
      </c>
      <c r="G7" s="71" t="inlineStr">
        <is>
          <t>N/A</t>
        </is>
      </c>
      <c r="H7" s="228" t="n">
        <v>41.09999999999999</v>
      </c>
      <c r="I7" s="229" t="n">
        <v>95</v>
      </c>
      <c r="J7" s="71" t="inlineStr">
        <is>
          <t>巨人傑, 強森</t>
        </is>
      </c>
      <c r="K7" s="94" t="inlineStr">
        <is>
          <t>TAIEX 資料缺, 歸因不全</t>
        </is>
      </c>
    </row>
    <row r="8">
      <c r="B8" s="77" t="inlineStr">
        <is>
          <t>2026/08/28</t>
        </is>
      </c>
      <c r="C8" s="77" t="inlineStr">
        <is>
          <t>08/31</t>
        </is>
      </c>
      <c r="D8" s="77" t="inlineStr">
        <is>
          <t>南電(8046)</t>
        </is>
      </c>
      <c r="E8" s="224" t="n">
        <v>-0.8100000000000001</v>
      </c>
      <c r="F8" s="71" t="inlineStr">
        <is>
          <t>N/A</t>
        </is>
      </c>
      <c r="G8" s="71" t="inlineStr">
        <is>
          <t>N/A</t>
        </is>
      </c>
      <c r="H8" s="228" t="n">
        <v>47.7</v>
      </c>
      <c r="I8" s="229" t="n">
        <v>95</v>
      </c>
      <c r="J8" s="71" t="inlineStr">
        <is>
          <t>巨人傑, 強森</t>
        </is>
      </c>
      <c r="K8" s="94" t="inlineStr">
        <is>
          <t>TAIEX 資料缺, 歸因不全</t>
        </is>
      </c>
    </row>
    <row r="9">
      <c r="B9" s="77" t="inlineStr">
        <is>
          <t>2026/08/28</t>
        </is>
      </c>
      <c r="C9" s="77" t="inlineStr">
        <is>
          <t>08/31</t>
        </is>
      </c>
      <c r="D9" s="77" t="inlineStr">
        <is>
          <t>台虹(8039)</t>
        </is>
      </c>
      <c r="E9" s="224" t="n">
        <v>-4.8</v>
      </c>
      <c r="F9" s="71" t="inlineStr">
        <is>
          <t>N/A</t>
        </is>
      </c>
      <c r="G9" s="71" t="inlineStr">
        <is>
          <t>N/A</t>
        </is>
      </c>
      <c r="H9" s="228" t="n">
        <v>20.4</v>
      </c>
      <c r="I9" s="229" t="n">
        <v>95</v>
      </c>
      <c r="J9" s="71" t="inlineStr">
        <is>
          <t>巨人傑, 強森</t>
        </is>
      </c>
      <c r="K9" s="94" t="inlineStr">
        <is>
          <t>TAIEX 資料缺, 歸因不全</t>
        </is>
      </c>
    </row>
    <row r="10">
      <c r="B10" s="77" t="inlineStr">
        <is>
          <t>2026/08/28</t>
        </is>
      </c>
      <c r="C10" s="77" t="inlineStr">
        <is>
          <t>08/31</t>
        </is>
      </c>
      <c r="D10" s="77" t="inlineStr">
        <is>
          <t>盟立(2464)</t>
        </is>
      </c>
      <c r="E10" s="224" t="n">
        <v>-5.26</v>
      </c>
      <c r="F10" s="71" t="inlineStr">
        <is>
          <t>N/A</t>
        </is>
      </c>
      <c r="G10" s="71" t="inlineStr">
        <is>
          <t>N/A</t>
        </is>
      </c>
      <c r="H10" s="228" t="n">
        <v>36.9</v>
      </c>
      <c r="I10" s="229" t="n">
        <v>95</v>
      </c>
      <c r="J10" s="71" t="inlineStr">
        <is>
          <t>Tradow, 巨人傑, 強森</t>
        </is>
      </c>
      <c r="K10" s="94" t="inlineStr">
        <is>
          <t>TAIEX 資料缺, 歸因不全</t>
        </is>
      </c>
    </row>
    <row r="11">
      <c r="B11" s="77" t="inlineStr">
        <is>
          <t>2026/08/27</t>
        </is>
      </c>
      <c r="C11" s="77" t="inlineStr">
        <is>
          <t>08/28</t>
        </is>
      </c>
      <c r="D11" s="77" t="inlineStr">
        <is>
          <t>頎邦(6147)</t>
        </is>
      </c>
      <c r="E11" s="224" t="n">
        <v>-2.67</v>
      </c>
      <c r="F11" s="230" t="n">
        <v>0.77</v>
      </c>
      <c r="G11" s="231" t="n">
        <v>-3.44</v>
      </c>
      <c r="H11" s="228" t="n">
        <v>23.5</v>
      </c>
      <c r="I11" s="229" t="n">
        <v>87.3</v>
      </c>
      <c r="J11" s="71" t="inlineStr">
        <is>
          <t>竹科主力分點</t>
        </is>
      </c>
      <c r="K11" s="94" t="inlineStr">
        <is>
          <t>個股弱勢 (跑輸大盤 &gt;2pp)</t>
        </is>
      </c>
    </row>
    <row r="12">
      <c r="B12" s="77" t="inlineStr">
        <is>
          <t>2026/08/27</t>
        </is>
      </c>
      <c r="C12" s="77" t="inlineStr">
        <is>
          <t>08/28</t>
        </is>
      </c>
      <c r="D12" s="77" t="inlineStr">
        <is>
          <t>台光電(2383)</t>
        </is>
      </c>
      <c r="E12" s="224" t="n">
        <v>-0.18</v>
      </c>
      <c r="F12" s="230" t="n">
        <v>0.77</v>
      </c>
      <c r="G12" s="231" t="n">
        <v>-0.95</v>
      </c>
      <c r="H12" s="228" t="n">
        <v>28.2</v>
      </c>
      <c r="I12" s="229" t="n">
        <v>87.3</v>
      </c>
      <c r="J12" s="71" t="inlineStr">
        <is>
          <t>竹科主力分點</t>
        </is>
      </c>
      <c r="K12" s="94" t="inlineStr">
        <is>
          <t>alpha noise (個股無系統性原因)</t>
        </is>
      </c>
    </row>
    <row r="13">
      <c r="B13" s="77" t="inlineStr">
        <is>
          <t>2026/08/27</t>
        </is>
      </c>
      <c r="C13" s="77" t="inlineStr">
        <is>
          <t>08/28</t>
        </is>
      </c>
      <c r="D13" s="77" t="inlineStr">
        <is>
          <t>旺矽(6223)</t>
        </is>
      </c>
      <c r="E13" s="224" t="n">
        <v>-1.18</v>
      </c>
      <c r="F13" s="230" t="n">
        <v>0.77</v>
      </c>
      <c r="G13" s="231" t="n">
        <v>-1.95</v>
      </c>
      <c r="H13" s="232" t="n">
        <v>66.3</v>
      </c>
      <c r="I13" s="229" t="n">
        <v>87.3</v>
      </c>
      <c r="J13" s="71" t="inlineStr">
        <is>
          <t>竹科主力分點</t>
        </is>
      </c>
      <c r="K13" s="94" t="inlineStr">
        <is>
          <t>假共識 (領頭獨佔 ≥50%)</t>
        </is>
      </c>
    </row>
    <row r="14">
      <c r="B14" s="77" t="inlineStr">
        <is>
          <t>2026/08/27</t>
        </is>
      </c>
      <c r="C14" s="77" t="inlineStr">
        <is>
          <t>08/28</t>
        </is>
      </c>
      <c r="D14" s="77" t="inlineStr">
        <is>
          <t>仁寶(2324)</t>
        </is>
      </c>
      <c r="E14" s="224" t="n">
        <v>-0.13</v>
      </c>
      <c r="F14" s="230" t="n">
        <v>0.77</v>
      </c>
      <c r="G14" s="231" t="n">
        <v>-0.9</v>
      </c>
      <c r="H14" s="228" t="n">
        <v>21.2</v>
      </c>
      <c r="I14" s="229" t="n">
        <v>87.3</v>
      </c>
      <c r="J14" s="71" t="inlineStr">
        <is>
          <t>竹科主力分點</t>
        </is>
      </c>
      <c r="K14" s="94" t="inlineStr">
        <is>
          <t>alpha noise (個股無系統性原因)</t>
        </is>
      </c>
    </row>
    <row r="15">
      <c r="B15" s="77" t="inlineStr">
        <is>
          <t>2026/08/17</t>
        </is>
      </c>
      <c r="C15" s="77" t="inlineStr">
        <is>
          <t>08/18</t>
        </is>
      </c>
      <c r="D15" s="77" t="inlineStr">
        <is>
          <t>南亞(1303)</t>
        </is>
      </c>
      <c r="E15" s="224" t="n">
        <v>-0.25</v>
      </c>
      <c r="F15" s="230" t="n">
        <v>0.1</v>
      </c>
      <c r="G15" s="231" t="n">
        <v>-0.35</v>
      </c>
      <c r="H15" s="228" t="n">
        <v>20.5</v>
      </c>
      <c r="I15" s="229" t="n">
        <v>95</v>
      </c>
      <c r="J15" s="71" t="inlineStr">
        <is>
          <t>林滄海</t>
        </is>
      </c>
      <c r="K15" s="94" t="inlineStr">
        <is>
          <t>alpha noise (個股無系統性原因)</t>
        </is>
      </c>
    </row>
    <row r="16">
      <c r="B16" s="77" t="inlineStr">
        <is>
          <t>2026/08/17</t>
        </is>
      </c>
      <c r="C16" s="77" t="inlineStr">
        <is>
          <t>08/18</t>
        </is>
      </c>
      <c r="D16" s="77" t="inlineStr">
        <is>
          <t>聯發科(2454)</t>
        </is>
      </c>
      <c r="E16" s="224" t="n">
        <v>-4.07</v>
      </c>
      <c r="F16" s="230" t="n">
        <v>0.1</v>
      </c>
      <c r="G16" s="231" t="n">
        <v>-4.17</v>
      </c>
      <c r="H16" s="232" t="n">
        <v>52.6</v>
      </c>
      <c r="I16" s="229" t="n">
        <v>95</v>
      </c>
      <c r="J16" s="71" t="inlineStr">
        <is>
          <t>Tradow, 林滄海</t>
        </is>
      </c>
      <c r="K16" s="94" t="inlineStr">
        <is>
          <t>假共識 (領頭獨佔 ≥50%) | 個股弱勢 (跑輸大盤 &gt;2pp)</t>
        </is>
      </c>
    </row>
    <row r="17">
      <c r="B17" s="77" t="inlineStr">
        <is>
          <t>2026/08/17</t>
        </is>
      </c>
      <c r="C17" s="77" t="inlineStr">
        <is>
          <t>08/18</t>
        </is>
      </c>
      <c r="D17" s="77" t="inlineStr">
        <is>
          <t>鴻海(2317)</t>
        </is>
      </c>
      <c r="E17" s="224" t="n">
        <v>-2.35</v>
      </c>
      <c r="F17" s="230" t="n">
        <v>0.1</v>
      </c>
      <c r="G17" s="231" t="n">
        <v>-2.45</v>
      </c>
      <c r="H17" s="228" t="n">
        <v>18</v>
      </c>
      <c r="I17" s="229" t="n">
        <v>95</v>
      </c>
      <c r="J17" s="71" t="inlineStr">
        <is>
          <t>Tradow, 林滄海</t>
        </is>
      </c>
      <c r="K17" s="94" t="inlineStr">
        <is>
          <t>個股弱勢 (跑輸大盤 &gt;2pp)</t>
        </is>
      </c>
    </row>
    <row r="18">
      <c r="B18" s="77" t="inlineStr">
        <is>
          <t>2026/08/17</t>
        </is>
      </c>
      <c r="C18" s="77" t="inlineStr">
        <is>
          <t>08/18</t>
        </is>
      </c>
      <c r="D18" s="77" t="inlineStr">
        <is>
          <t>技嘉(2376)</t>
        </is>
      </c>
      <c r="E18" s="224" t="n">
        <v>-2.79</v>
      </c>
      <c r="F18" s="230" t="n">
        <v>0.1</v>
      </c>
      <c r="G18" s="231" t="n">
        <v>-2.89</v>
      </c>
      <c r="H18" s="228" t="n">
        <v>32.1</v>
      </c>
      <c r="I18" s="229" t="n">
        <v>95</v>
      </c>
      <c r="J18" s="71" t="inlineStr">
        <is>
          <t>Tradow, 林滄海</t>
        </is>
      </c>
      <c r="K18" s="94" t="inlineStr">
        <is>
          <t>個股弱勢 (跑輸大盤 &gt;2pp)</t>
        </is>
      </c>
    </row>
    <row r="19">
      <c r="B19" s="77" t="inlineStr">
        <is>
          <t>2026/08/17</t>
        </is>
      </c>
      <c r="C19" s="77" t="inlineStr">
        <is>
          <t>08/18</t>
        </is>
      </c>
      <c r="D19" s="77" t="inlineStr">
        <is>
          <t>旺宏(2337)</t>
        </is>
      </c>
      <c r="E19" s="224" t="n">
        <v>-5.79</v>
      </c>
      <c r="F19" s="230" t="n">
        <v>0.1</v>
      </c>
      <c r="G19" s="231" t="n">
        <v>-5.89</v>
      </c>
      <c r="H19" s="228" t="n">
        <v>27.7</v>
      </c>
      <c r="I19" s="229" t="n">
        <v>95</v>
      </c>
      <c r="J19" s="71" t="inlineStr">
        <is>
          <t>Tradow, 林滄海</t>
        </is>
      </c>
      <c r="K19" s="94" t="inlineStr">
        <is>
          <t>個股弱勢 (跑輸大盤 &gt;2pp)</t>
        </is>
      </c>
    </row>
    <row r="20">
      <c r="B20" s="77" t="inlineStr">
        <is>
          <t>2026/08/17</t>
        </is>
      </c>
      <c r="C20" s="77" t="inlineStr">
        <is>
          <t>08/18</t>
        </is>
      </c>
      <c r="D20" s="77" t="inlineStr">
        <is>
          <t>國巨*(2327)</t>
        </is>
      </c>
      <c r="E20" s="224" t="n">
        <v>-5.26</v>
      </c>
      <c r="F20" s="230" t="n">
        <v>0.1</v>
      </c>
      <c r="G20" s="231" t="n">
        <v>-5.36</v>
      </c>
      <c r="H20" s="228" t="n">
        <v>36.7</v>
      </c>
      <c r="I20" s="229" t="n">
        <v>95</v>
      </c>
      <c r="J20" s="71" t="inlineStr">
        <is>
          <t>林滄海</t>
        </is>
      </c>
      <c r="K20" s="94" t="inlineStr">
        <is>
          <t>個股弱勢 (跑輸大盤 &gt;2pp)</t>
        </is>
      </c>
    </row>
    <row r="21">
      <c r="B21" s="77" t="inlineStr">
        <is>
          <t>2026/08/17</t>
        </is>
      </c>
      <c r="C21" s="77" t="inlineStr">
        <is>
          <t>08/18</t>
        </is>
      </c>
      <c r="D21" s="77" t="inlineStr">
        <is>
          <t>力積電(6770)</t>
        </is>
      </c>
      <c r="E21" s="224" t="n">
        <v>-6.57</v>
      </c>
      <c r="F21" s="230" t="n">
        <v>0.1</v>
      </c>
      <c r="G21" s="231" t="n">
        <v>-6.67</v>
      </c>
      <c r="H21" s="228" t="n">
        <v>20.1</v>
      </c>
      <c r="I21" s="229" t="n">
        <v>95</v>
      </c>
      <c r="J21" s="71" t="inlineStr">
        <is>
          <t>Tradow, 林滄海</t>
        </is>
      </c>
      <c r="K21" s="94" t="inlineStr">
        <is>
          <t>個股弱勢 (跑輸大盤 &gt;2pp)</t>
        </is>
      </c>
    </row>
    <row r="22">
      <c r="B22" s="77" t="inlineStr">
        <is>
          <t>2026/08/17</t>
        </is>
      </c>
      <c r="C22" s="77" t="inlineStr">
        <is>
          <t>08/18</t>
        </is>
      </c>
      <c r="D22" s="77" t="inlineStr">
        <is>
          <t>仁寶(2324)</t>
        </is>
      </c>
      <c r="E22" s="224" t="n">
        <v>-2.52</v>
      </c>
      <c r="F22" s="230" t="n">
        <v>0.1</v>
      </c>
      <c r="G22" s="231" t="n">
        <v>-2.62</v>
      </c>
      <c r="H22" s="228" t="n">
        <v>21.9</v>
      </c>
      <c r="I22" s="229" t="n">
        <v>95</v>
      </c>
      <c r="J22" s="71" t="inlineStr">
        <is>
          <t>林滄海</t>
        </is>
      </c>
      <c r="K22" s="94" t="inlineStr">
        <is>
          <t>個股弱勢 (跑輸大盤 &gt;2pp)</t>
        </is>
      </c>
    </row>
    <row r="23">
      <c r="B23" s="77" t="inlineStr">
        <is>
          <t>2026/08/17</t>
        </is>
      </c>
      <c r="C23" s="77" t="inlineStr">
        <is>
          <t>08/18</t>
        </is>
      </c>
      <c r="D23" s="77" t="inlineStr">
        <is>
          <t>景碩(3189)</t>
        </is>
      </c>
      <c r="E23" s="224" t="n">
        <v>-4.42</v>
      </c>
      <c r="F23" s="230" t="n">
        <v>0.1</v>
      </c>
      <c r="G23" s="231" t="n">
        <v>-4.52</v>
      </c>
      <c r="H23" s="228" t="n">
        <v>42.3</v>
      </c>
      <c r="I23" s="229" t="n">
        <v>95</v>
      </c>
      <c r="J23" s="71" t="inlineStr">
        <is>
          <t>林滄海</t>
        </is>
      </c>
      <c r="K23" s="94" t="inlineStr">
        <is>
          <t>個股弱勢 (跑輸大盤 &gt;2pp)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台燿(6274)</t>
        </is>
      </c>
      <c r="E24" s="224" t="n">
        <v>-3.44</v>
      </c>
      <c r="F24" s="230" t="n">
        <v>0.1</v>
      </c>
      <c r="G24" s="231" t="n">
        <v>-3.54</v>
      </c>
      <c r="H24" s="228" t="n">
        <v>40.2</v>
      </c>
      <c r="I24" s="229" t="n">
        <v>95</v>
      </c>
      <c r="J24" s="71" t="inlineStr">
        <is>
          <t>Tradow, 林滄海</t>
        </is>
      </c>
      <c r="K24" s="94" t="inlineStr">
        <is>
          <t>個股弱勢 (跑輸大盤 &gt;2pp)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臻鼎-KY(4958)</t>
        </is>
      </c>
      <c r="E25" s="224" t="n">
        <v>-5.77</v>
      </c>
      <c r="F25" s="230" t="n">
        <v>0.1</v>
      </c>
      <c r="G25" s="231" t="n">
        <v>-5.87</v>
      </c>
      <c r="H25" s="228" t="n">
        <v>32</v>
      </c>
      <c r="I25" s="229" t="n">
        <v>95</v>
      </c>
      <c r="J25" s="71" t="inlineStr">
        <is>
          <t>Tradow, 林滄海</t>
        </is>
      </c>
      <c r="K25" s="94" t="inlineStr">
        <is>
          <t>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群聯(8299)</t>
        </is>
      </c>
      <c r="E26" s="224" t="n">
        <v>-4.08</v>
      </c>
      <c r="F26" s="230" t="n">
        <v>0.1</v>
      </c>
      <c r="G26" s="231" t="n">
        <v>-4.18</v>
      </c>
      <c r="H26" s="228" t="n">
        <v>36.2</v>
      </c>
      <c r="I26" s="229" t="n">
        <v>95</v>
      </c>
      <c r="J26" s="71" t="inlineStr">
        <is>
          <t>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華邦電(2344)</t>
        </is>
      </c>
      <c r="E27" s="224" t="n">
        <v>-2.75</v>
      </c>
      <c r="F27" s="230" t="n">
        <v>0.1</v>
      </c>
      <c r="G27" s="231" t="n">
        <v>-2.85</v>
      </c>
      <c r="H27" s="228" t="n">
        <v>27.5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2026/08/14</t>
        </is>
      </c>
      <c r="C28" s="77" t="inlineStr">
        <is>
          <t>08/17</t>
        </is>
      </c>
      <c r="D28" s="77" t="inlineStr">
        <is>
          <t>國巨*(2327)</t>
        </is>
      </c>
      <c r="E28" s="224" t="n">
        <v>-2.25</v>
      </c>
      <c r="F28" s="230" t="n">
        <v>-0.46</v>
      </c>
      <c r="G28" s="231" t="n">
        <v>-1.79</v>
      </c>
      <c r="H28" s="228" t="n">
        <v>35.09999999999999</v>
      </c>
      <c r="I28" s="229" t="n">
        <v>95</v>
      </c>
      <c r="J28" s="71" t="inlineStr">
        <is>
          <t>巨人傑</t>
        </is>
      </c>
      <c r="K28" s="94" t="inlineStr">
        <is>
          <t>alpha noise (個股無系統性原因)</t>
        </is>
      </c>
    </row>
    <row r="29">
      <c r="B29" s="77" t="inlineStr">
        <is>
          <t>2026/08/14</t>
        </is>
      </c>
      <c r="C29" s="77" t="inlineStr">
        <is>
          <t>08/17</t>
        </is>
      </c>
      <c r="D29" s="77" t="inlineStr">
        <is>
          <t>嘉澤(3533)</t>
        </is>
      </c>
      <c r="E29" s="224" t="n">
        <v>-1.16</v>
      </c>
      <c r="F29" s="230" t="n">
        <v>-0.46</v>
      </c>
      <c r="G29" s="231" t="n">
        <v>-0.7</v>
      </c>
      <c r="H29" s="232" t="n">
        <v>57.3</v>
      </c>
      <c r="I29" s="229" t="n">
        <v>95</v>
      </c>
      <c r="J29" s="71" t="inlineStr">
        <is>
          <t>巨人傑</t>
        </is>
      </c>
      <c r="K29" s="94" t="inlineStr">
        <is>
          <t>假共識 (領頭獨佔 ≥50%)</t>
        </is>
      </c>
    </row>
    <row r="30">
      <c r="B30" s="77" t="inlineStr">
        <is>
          <t>2026/08/14</t>
        </is>
      </c>
      <c r="C30" s="77" t="inlineStr">
        <is>
          <t>08/17</t>
        </is>
      </c>
      <c r="D30" s="77" t="inlineStr">
        <is>
          <t>華新科(2492)</t>
        </is>
      </c>
      <c r="E30" s="224" t="n">
        <v>-3.64</v>
      </c>
      <c r="F30" s="230" t="n">
        <v>-0.46</v>
      </c>
      <c r="G30" s="231" t="n">
        <v>-3.18</v>
      </c>
      <c r="H30" s="228" t="n">
        <v>26.8</v>
      </c>
      <c r="I30" s="229" t="n">
        <v>95</v>
      </c>
      <c r="J30" s="71" t="inlineStr">
        <is>
          <t>巨人傑</t>
        </is>
      </c>
      <c r="K30" s="94" t="inlineStr">
        <is>
          <t>個股弱勢 (跑輸大盤 &gt;2pp)</t>
        </is>
      </c>
    </row>
    <row r="31">
      <c r="B31" s="77" t="inlineStr">
        <is>
          <t>2026/08/14</t>
        </is>
      </c>
      <c r="C31" s="77" t="inlineStr">
        <is>
          <t>08/17</t>
        </is>
      </c>
      <c r="D31" s="77" t="inlineStr">
        <is>
          <t>微星(2377)</t>
        </is>
      </c>
      <c r="E31" s="224" t="n">
        <v>-5.97</v>
      </c>
      <c r="F31" s="230" t="n">
        <v>-0.46</v>
      </c>
      <c r="G31" s="231" t="n">
        <v>-5.51</v>
      </c>
      <c r="H31" s="228" t="n">
        <v>19.7</v>
      </c>
      <c r="I31" s="229" t="n">
        <v>95</v>
      </c>
      <c r="J31" s="71" t="inlineStr">
        <is>
          <t>巨人傑</t>
        </is>
      </c>
      <c r="K31" s="94" t="inlineStr">
        <is>
          <t>個股弱勢 (跑輸大盤 &gt;2pp)</t>
        </is>
      </c>
    </row>
    <row r="32">
      <c r="B32" s="77" t="inlineStr">
        <is>
          <t>2026/08/14</t>
        </is>
      </c>
      <c r="C32" s="77" t="inlineStr">
        <is>
          <t>08/17</t>
        </is>
      </c>
      <c r="D32" s="77" t="inlineStr">
        <is>
          <t>鴻海(2317)</t>
        </is>
      </c>
      <c r="E32" s="224" t="n">
        <v>-1.73</v>
      </c>
      <c r="F32" s="230" t="n">
        <v>-0.46</v>
      </c>
      <c r="G32" s="231" t="n">
        <v>-1.27</v>
      </c>
      <c r="H32" s="228" t="n">
        <v>35.4</v>
      </c>
      <c r="I32" s="229" t="n">
        <v>95</v>
      </c>
      <c r="J32" s="71" t="inlineStr">
        <is>
          <t>巨人傑</t>
        </is>
      </c>
      <c r="K32" s="94" t="inlineStr">
        <is>
          <t>alpha noise (個股無系統性原因)</t>
        </is>
      </c>
    </row>
    <row r="33">
      <c r="B33" s="77" t="inlineStr">
        <is>
          <t>2026/08/14</t>
        </is>
      </c>
      <c r="C33" s="77" t="inlineStr">
        <is>
          <t>08/17</t>
        </is>
      </c>
      <c r="D33" s="77" t="inlineStr">
        <is>
          <t>中鋼(2002)</t>
        </is>
      </c>
      <c r="E33" s="224" t="n">
        <v>-0.79</v>
      </c>
      <c r="F33" s="230" t="n">
        <v>-0.46</v>
      </c>
      <c r="G33" s="231" t="n">
        <v>-0.33</v>
      </c>
      <c r="H33" s="232" t="n">
        <v>56.7</v>
      </c>
      <c r="I33" s="229" t="n">
        <v>95</v>
      </c>
      <c r="J33" s="71" t="inlineStr">
        <is>
          <t>巨人傑</t>
        </is>
      </c>
      <c r="K33" s="94" t="inlineStr">
        <is>
          <t>假共識 (領頭獨佔 ≥50%)</t>
        </is>
      </c>
    </row>
    <row r="34">
      <c r="B34" s="77" t="inlineStr">
        <is>
          <t>2026/08/14</t>
        </is>
      </c>
      <c r="C34" s="77" t="inlineStr">
        <is>
          <t>08/17</t>
        </is>
      </c>
      <c r="D34" s="77" t="inlineStr">
        <is>
          <t>金居(8358)</t>
        </is>
      </c>
      <c r="E34" s="224" t="n">
        <v>-2.1</v>
      </c>
      <c r="F34" s="230" t="n">
        <v>-0.46</v>
      </c>
      <c r="G34" s="231" t="n">
        <v>-1.64</v>
      </c>
      <c r="H34" s="228" t="n">
        <v>26.9</v>
      </c>
      <c r="I34" s="229" t="n">
        <v>95</v>
      </c>
      <c r="J34" s="71" t="inlineStr">
        <is>
          <t>巨人傑</t>
        </is>
      </c>
      <c r="K34" s="94" t="inlineStr">
        <is>
          <t>alpha noise (個股無系統性原因)</t>
        </is>
      </c>
    </row>
    <row r="35">
      <c r="B35" s="77" t="inlineStr">
        <is>
          <t>2026/08/13</t>
        </is>
      </c>
      <c r="C35" s="77" t="inlineStr">
        <is>
          <t>08/14</t>
        </is>
      </c>
      <c r="D35" s="77" t="inlineStr">
        <is>
          <t>京元電子(2449)</t>
        </is>
      </c>
      <c r="E35" s="224" t="n">
        <v>-2.56</v>
      </c>
      <c r="F35" s="230" t="n">
        <v>1.11</v>
      </c>
      <c r="G35" s="231" t="n">
        <v>-3.67</v>
      </c>
      <c r="H35" s="228" t="n">
        <v>25.7</v>
      </c>
      <c r="I35" s="229" t="n">
        <v>95</v>
      </c>
      <c r="J35" s="71" t="inlineStr">
        <is>
          <t>迷你哥/松山哥</t>
        </is>
      </c>
      <c r="K35" s="94" t="inlineStr">
        <is>
          <t>個股弱勢 (跑輸大盤 &gt;2pp)</t>
        </is>
      </c>
    </row>
    <row r="36">
      <c r="B36" s="77" t="inlineStr">
        <is>
          <t>2026/08/13</t>
        </is>
      </c>
      <c r="C36" s="77" t="inlineStr">
        <is>
          <t>08/14</t>
        </is>
      </c>
      <c r="D36" s="77" t="inlineStr">
        <is>
          <t>鴻海(2317)</t>
        </is>
      </c>
      <c r="E36" s="224" t="n">
        <v>-0.95</v>
      </c>
      <c r="F36" s="230" t="n">
        <v>1.11</v>
      </c>
      <c r="G36" s="231" t="n">
        <v>-2.06</v>
      </c>
      <c r="H36" s="228" t="n">
        <v>30.2</v>
      </c>
      <c r="I36" s="229" t="n">
        <v>95</v>
      </c>
      <c r="J36" s="71" t="inlineStr">
        <is>
          <t>迷你哥/松山哥</t>
        </is>
      </c>
      <c r="K36" s="94" t="inlineStr">
        <is>
          <t>個股弱勢 (跑輸大盤 &gt;2pp)</t>
        </is>
      </c>
    </row>
    <row r="37">
      <c r="B37" s="77" t="inlineStr">
        <is>
          <t>2026/08/13</t>
        </is>
      </c>
      <c r="C37" s="77" t="inlineStr">
        <is>
          <t>08/14</t>
        </is>
      </c>
      <c r="D37" s="77" t="inlineStr">
        <is>
          <t>嘉澤(3533)</t>
        </is>
      </c>
      <c r="E37" s="224" t="n">
        <v>-4.97</v>
      </c>
      <c r="F37" s="230" t="n">
        <v>1.11</v>
      </c>
      <c r="G37" s="231" t="n">
        <v>-6.08</v>
      </c>
      <c r="H37" s="228" t="n">
        <v>26.6</v>
      </c>
      <c r="I37" s="229" t="n">
        <v>95</v>
      </c>
      <c r="J37" s="71" t="inlineStr">
        <is>
          <t>迷你哥/松山哥</t>
        </is>
      </c>
      <c r="K37" s="94" t="inlineStr">
        <is>
          <t>個股弱勢 (跑輸大盤 &gt;2pp)</t>
        </is>
      </c>
    </row>
    <row r="38">
      <c r="B38" s="77" t="inlineStr">
        <is>
          <t>2026/08/13</t>
        </is>
      </c>
      <c r="C38" s="77" t="inlineStr">
        <is>
          <t>08/14</t>
        </is>
      </c>
      <c r="D38" s="77" t="inlineStr">
        <is>
          <t>穩懋(3105)</t>
        </is>
      </c>
      <c r="E38" s="224" t="n">
        <v>-2.33</v>
      </c>
      <c r="F38" s="230" t="n">
        <v>1.11</v>
      </c>
      <c r="G38" s="231" t="n">
        <v>-3.44</v>
      </c>
      <c r="H38" s="232" t="n">
        <v>54.6</v>
      </c>
      <c r="I38" s="229" t="n">
        <v>95</v>
      </c>
      <c r="J38" s="71" t="inlineStr">
        <is>
          <t>迷你哥/松山哥</t>
        </is>
      </c>
      <c r="K38" s="94" t="inlineStr">
        <is>
          <t>假共識 (領頭獨佔 ≥50%) | 個股弱勢 (跑輸大盤 &gt;2pp)</t>
        </is>
      </c>
    </row>
    <row r="39">
      <c r="B39" s="77" t="inlineStr">
        <is>
          <t>2026/08/13</t>
        </is>
      </c>
      <c r="C39" s="77" t="inlineStr">
        <is>
          <t>08/14</t>
        </is>
      </c>
      <c r="D39" s="77" t="inlineStr">
        <is>
          <t>禾伸堂(3026)</t>
        </is>
      </c>
      <c r="E39" s="224" t="n">
        <v>-6.37</v>
      </c>
      <c r="F39" s="230" t="n">
        <v>1.11</v>
      </c>
      <c r="G39" s="231" t="n">
        <v>-7.48</v>
      </c>
      <c r="H39" s="228" t="n">
        <v>44.6</v>
      </c>
      <c r="I39" s="229" t="n">
        <v>95</v>
      </c>
      <c r="J39" s="71" t="inlineStr">
        <is>
          <t>迷你哥/松山哥</t>
        </is>
      </c>
      <c r="K39" s="94" t="inlineStr">
        <is>
          <t>個股弱勢 (跑輸大盤 &gt;2pp)</t>
        </is>
      </c>
    </row>
    <row r="40">
      <c r="B40" s="77" t="inlineStr">
        <is>
          <t>2026/08/13</t>
        </is>
      </c>
      <c r="C40" s="77" t="inlineStr">
        <is>
          <t>08/14</t>
        </is>
      </c>
      <c r="D40" s="77" t="inlineStr">
        <is>
          <t>華南金(2880)</t>
        </is>
      </c>
      <c r="E40" s="224" t="n">
        <v>-0.38</v>
      </c>
      <c r="F40" s="230" t="n">
        <v>1.11</v>
      </c>
      <c r="G40" s="231" t="n">
        <v>-1.49</v>
      </c>
      <c r="H40" s="228" t="n">
        <v>34.9</v>
      </c>
      <c r="I40" s="229" t="n">
        <v>95</v>
      </c>
      <c r="J40" s="71" t="inlineStr">
        <is>
          <t>迷你哥/松山哥</t>
        </is>
      </c>
      <c r="K40" s="94" t="inlineStr">
        <is>
          <t>alpha noise (個股無系統性原因)</t>
        </is>
      </c>
    </row>
    <row r="41">
      <c r="B41" s="77" t="inlineStr">
        <is>
          <t>2026/08/13</t>
        </is>
      </c>
      <c r="C41" s="77" t="inlineStr">
        <is>
          <t>08/14</t>
        </is>
      </c>
      <c r="D41" s="77" t="inlineStr">
        <is>
          <t>光聖(6442)</t>
        </is>
      </c>
      <c r="E41" s="224" t="n">
        <v>-0.32</v>
      </c>
      <c r="F41" s="230" t="n">
        <v>1.11</v>
      </c>
      <c r="G41" s="231" t="n">
        <v>-1.43</v>
      </c>
      <c r="H41" s="228" t="n">
        <v>22.8</v>
      </c>
      <c r="I41" s="229" t="n">
        <v>95</v>
      </c>
      <c r="J41" s="71" t="inlineStr">
        <is>
          <t>迷你哥/松山哥</t>
        </is>
      </c>
      <c r="K41" s="94" t="inlineStr">
        <is>
          <t>alpha noise (個股無系統性原因)</t>
        </is>
      </c>
    </row>
    <row r="44" ht="60" customHeight="1">
      <c r="B44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45"/>
    <row r="46"/>
    <row r="47"/>
  </sheetData>
  <mergeCells count="3">
    <mergeCell ref="B4:K4"/>
    <mergeCell ref="B44:K47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23/23 交易日出手 1106 次 (338 檔), 風格分布: 隔日沖近似 33% / 當沖 14% / 留倉 52%, 漲停命中 3% (其中 🔒鎖漲停 3%), 前 5 大集中 18%, ⚠️ 處置股部位 12% (18 檔), 📦 連續囤貨 21 檔 (最長 10 天 00406A, 4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3008</t>
        </is>
      </c>
      <c r="D12" t="inlineStr">
        <is>
          <t>大立光</t>
        </is>
      </c>
      <c r="E12" s="33" t="n">
        <v>9041</v>
      </c>
      <c r="F12" s="33" t="n">
        <v>0</v>
      </c>
      <c r="G12" s="233" t="n">
        <v>-0.0092</v>
      </c>
    </row>
    <row r="13">
      <c r="B13" t="n">
        <v>2</v>
      </c>
      <c r="C13" t="inlineStr">
        <is>
          <t>3105</t>
        </is>
      </c>
      <c r="D13" t="inlineStr">
        <is>
          <t>穩懋</t>
        </is>
      </c>
      <c r="E13" s="33" t="n">
        <v>8529</v>
      </c>
      <c r="F13" s="33" t="n">
        <v>0</v>
      </c>
      <c r="G13" s="215" t="n">
        <v>0.09939999999999999</v>
      </c>
    </row>
    <row r="14">
      <c r="B14" t="n">
        <v>3</v>
      </c>
      <c r="C14" t="inlineStr">
        <is>
          <t>3406</t>
        </is>
      </c>
      <c r="D14" t="inlineStr">
        <is>
          <t>玉晶光</t>
        </is>
      </c>
      <c r="E14" s="33" t="n">
        <v>7773</v>
      </c>
      <c r="F14" s="33" t="n">
        <v>0</v>
      </c>
      <c r="G14" s="234" t="n">
        <v>0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6637</v>
      </c>
      <c r="F15" s="33" t="n">
        <v>0</v>
      </c>
      <c r="G15" s="233" t="n">
        <v>-0.046</v>
      </c>
    </row>
    <row r="16">
      <c r="B16" t="n">
        <v>5</v>
      </c>
      <c r="C16" t="inlineStr">
        <is>
          <t>2344</t>
        </is>
      </c>
      <c r="D16" t="inlineStr">
        <is>
          <t>華邦電</t>
        </is>
      </c>
      <c r="E16" s="33" t="n">
        <v>6325</v>
      </c>
      <c r="F16" s="33" t="n">
        <v>0</v>
      </c>
      <c r="G16" s="233" t="n">
        <v>-0.0356</v>
      </c>
    </row>
    <row r="17">
      <c r="B17" t="n">
        <v>6</v>
      </c>
      <c r="C17" t="inlineStr">
        <is>
          <t>8358</t>
        </is>
      </c>
      <c r="D17" t="inlineStr">
        <is>
          <t>金居</t>
        </is>
      </c>
      <c r="E17" s="33" t="n">
        <v>3615</v>
      </c>
      <c r="F17" s="33" t="n">
        <v>0</v>
      </c>
      <c r="G17" s="233" t="n">
        <v>-0.0259</v>
      </c>
    </row>
    <row r="18">
      <c r="B18" t="n">
        <v>7</v>
      </c>
      <c r="C18" t="inlineStr">
        <is>
          <t>8027</t>
        </is>
      </c>
      <c r="D18" t="inlineStr">
        <is>
          <t>鈦昇</t>
        </is>
      </c>
      <c r="E18" s="33" t="n">
        <v>3510</v>
      </c>
      <c r="F18" s="33" t="n">
        <v>0</v>
      </c>
      <c r="G18" s="215" t="n">
        <v>0.0306</v>
      </c>
    </row>
    <row r="19">
      <c r="B19" t="n">
        <v>8</v>
      </c>
      <c r="C19" t="inlineStr">
        <is>
          <t>2360</t>
        </is>
      </c>
      <c r="D19" t="inlineStr">
        <is>
          <t>致茂</t>
        </is>
      </c>
      <c r="E19" s="33" t="n">
        <v>3296</v>
      </c>
      <c r="F19" s="33" t="n">
        <v>0</v>
      </c>
      <c r="G19" s="215" t="n">
        <v>0.0357</v>
      </c>
    </row>
    <row r="20">
      <c r="B20" t="n">
        <v>9</v>
      </c>
      <c r="C20" t="inlineStr">
        <is>
          <t>2303</t>
        </is>
      </c>
      <c r="D20" t="inlineStr">
        <is>
          <t>聯電</t>
        </is>
      </c>
      <c r="E20" s="33" t="n">
        <v>3100</v>
      </c>
      <c r="F20" s="33" t="n">
        <v>0</v>
      </c>
      <c r="G20" s="215" t="n">
        <v>0.0271</v>
      </c>
    </row>
    <row r="21">
      <c r="B21" t="n">
        <v>10</v>
      </c>
      <c r="C21" t="inlineStr">
        <is>
          <t>3081</t>
        </is>
      </c>
      <c r="D21" t="inlineStr">
        <is>
          <t>聯亞</t>
        </is>
      </c>
      <c r="E21" s="33" t="n">
        <v>2926</v>
      </c>
      <c r="F21" s="33" t="n">
        <v>0</v>
      </c>
      <c r="G21" s="233" t="n">
        <v>-0.0297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創意(3443)</t>
        </is>
      </c>
      <c r="E2" s="113" t="n">
        <v>18</v>
      </c>
      <c r="F2" s="113" t="n">
        <v>1</v>
      </c>
      <c r="G2" s="113" t="n">
        <v>10552</v>
      </c>
      <c r="H2" s="113" t="n">
        <v>72</v>
      </c>
      <c r="I2" s="113" t="n">
        <v>10480</v>
      </c>
      <c r="J2" s="114" t="n">
        <v>5862.28</v>
      </c>
      <c r="K2" s="114" t="n">
        <v>723</v>
      </c>
      <c r="L2" s="235">
        <f>F2*(K2-J2)</f>
        <v/>
      </c>
    </row>
    <row r="3" ht="16.5" customHeight="1">
      <c r="A3" s="116" t="n"/>
      <c r="B3" s="116" t="n"/>
      <c r="C3" s="116" t="n"/>
      <c r="D3" s="112" t="inlineStr">
        <is>
          <t>大立光(3008)</t>
        </is>
      </c>
      <c r="E3" s="113" t="n">
        <v>7</v>
      </c>
      <c r="F3" s="113" t="n">
        <v>6</v>
      </c>
      <c r="G3" s="113" t="n">
        <v>5501</v>
      </c>
      <c r="H3" s="113" t="n">
        <v>4704</v>
      </c>
      <c r="I3" s="113" t="n">
        <v>797</v>
      </c>
      <c r="J3" s="114" t="n">
        <v>7858.57</v>
      </c>
      <c r="K3" s="114" t="n">
        <v>7839.67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華城(1519)</t>
        </is>
      </c>
      <c r="E4" s="113" t="n">
        <v>61</v>
      </c>
      <c r="F4" s="113" t="n">
        <v>1</v>
      </c>
      <c r="G4" s="113" t="n">
        <v>4659</v>
      </c>
      <c r="H4" s="113" t="n">
        <v>106</v>
      </c>
      <c r="I4" s="113" t="n">
        <v>4553</v>
      </c>
      <c r="J4" s="114" t="n">
        <v>763.77</v>
      </c>
      <c r="K4" s="114" t="n">
        <v>1061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南亞科(2408)</t>
        </is>
      </c>
      <c r="E5" s="113" t="n">
        <v>70</v>
      </c>
      <c r="F5" s="113" t="n">
        <v>4</v>
      </c>
      <c r="G5" s="113" t="n">
        <v>3657</v>
      </c>
      <c r="H5" s="113" t="n">
        <v>229</v>
      </c>
      <c r="I5" s="113" t="n">
        <v>3428</v>
      </c>
      <c r="J5" s="114" t="n">
        <v>522.41</v>
      </c>
      <c r="K5" s="114" t="n">
        <v>572.75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雅特力-KY(6907)</t>
        </is>
      </c>
      <c r="E6" s="113" t="n">
        <v>82</v>
      </c>
      <c r="F6" s="113" t="n">
        <v>1</v>
      </c>
      <c r="G6" s="113" t="n">
        <v>1578</v>
      </c>
      <c r="H6" s="113" t="n">
        <v>0</v>
      </c>
      <c r="I6" s="113" t="n">
        <v>1578</v>
      </c>
      <c r="J6" s="114" t="n">
        <v>192.39</v>
      </c>
      <c r="K6" s="114" t="n">
        <v>2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德律(3030)</t>
        </is>
      </c>
      <c r="E7" s="113" t="n">
        <v>50</v>
      </c>
      <c r="F7" s="113" t="n">
        <v>1</v>
      </c>
      <c r="G7" s="113" t="n">
        <v>1509</v>
      </c>
      <c r="H7" s="113" t="n">
        <v>3</v>
      </c>
      <c r="I7" s="113" t="n">
        <v>1506</v>
      </c>
      <c r="J7" s="114" t="n">
        <v>301.78</v>
      </c>
      <c r="K7" s="114" t="n">
        <v>33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華邦電(2344)</t>
        </is>
      </c>
      <c r="E8" s="113" t="n">
        <v>76</v>
      </c>
      <c r="F8" s="113" t="n">
        <v>14</v>
      </c>
      <c r="G8" s="113" t="n">
        <v>1347</v>
      </c>
      <c r="H8" s="113" t="n">
        <v>254</v>
      </c>
      <c r="I8" s="113" t="n">
        <v>1093</v>
      </c>
      <c r="J8" s="114" t="n">
        <v>177.22</v>
      </c>
      <c r="K8" s="114" t="n">
        <v>181.5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力積電(6770)</t>
        </is>
      </c>
      <c r="E9" s="113" t="n">
        <v>163</v>
      </c>
      <c r="F9" s="113" t="n">
        <v>17</v>
      </c>
      <c r="G9" s="113" t="n">
        <v>1162</v>
      </c>
      <c r="H9" s="113" t="n">
        <v>122</v>
      </c>
      <c r="I9" s="113" t="n">
        <v>1040</v>
      </c>
      <c r="J9" s="114" t="n">
        <v>71.28</v>
      </c>
      <c r="K9" s="114" t="n">
        <v>71.81999999999999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世芯-KY(3661)</t>
        </is>
      </c>
      <c r="E10" s="113" t="n">
        <v>2</v>
      </c>
      <c r="F10" s="113" t="n">
        <v>1</v>
      </c>
      <c r="G10" s="113" t="n">
        <v>887</v>
      </c>
      <c r="H10" s="113" t="n">
        <v>540</v>
      </c>
      <c r="I10" s="113" t="n">
        <v>347</v>
      </c>
      <c r="J10" s="114" t="n">
        <v>4435.5</v>
      </c>
      <c r="K10" s="114" t="n">
        <v>5399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南亞(1303)</t>
        </is>
      </c>
      <c r="E11" s="113" t="n">
        <v>37</v>
      </c>
      <c r="F11" s="113" t="n">
        <v>16</v>
      </c>
      <c r="G11" s="113" t="n">
        <v>863</v>
      </c>
      <c r="H11" s="113" t="n">
        <v>384</v>
      </c>
      <c r="I11" s="113" t="n">
        <v>479</v>
      </c>
      <c r="J11" s="114" t="n">
        <v>233.22</v>
      </c>
      <c r="K11" s="114" t="n">
        <v>239.81</v>
      </c>
      <c r="L11" s="236">
        <f>F11*(K11-J11)</f>
        <v/>
      </c>
    </row>
    <row r="12" ht="16.5" customHeight="1">
      <c r="A12" s="118" t="n"/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A13" s="116" t="n"/>
      <c r="B13" s="111" t="inlineStr">
        <is>
          <t>富邦-南屯</t>
        </is>
      </c>
      <c r="C13" s="111" t="inlineStr">
        <is>
          <t>9666</t>
        </is>
      </c>
      <c r="D13" s="112" t="inlineStr">
        <is>
          <t>欣興(3037)</t>
        </is>
      </c>
      <c r="E13" s="113" t="n">
        <v>93</v>
      </c>
      <c r="F13" s="113" t="n">
        <v>79</v>
      </c>
      <c r="G13" s="113" t="n">
        <v>9002</v>
      </c>
      <c r="H13" s="113" t="n">
        <v>7630</v>
      </c>
      <c r="I13" s="113" t="n">
        <v>1372</v>
      </c>
      <c r="J13" s="114" t="n">
        <v>967.92</v>
      </c>
      <c r="K13" s="114" t="n">
        <v>965.77</v>
      </c>
      <c r="L13" s="235">
        <f>F13*(K13-J13)</f>
        <v/>
      </c>
    </row>
    <row r="14" ht="16.5" customHeight="1">
      <c r="A14" s="116" t="n"/>
      <c r="B14" s="116" t="n"/>
      <c r="C14" s="116" t="n"/>
      <c r="D14" s="112" t="inlineStr">
        <is>
          <t>華邦電(2344)</t>
        </is>
      </c>
      <c r="E14" s="113" t="n">
        <v>481</v>
      </c>
      <c r="F14" s="113" t="n">
        <v>79</v>
      </c>
      <c r="G14" s="113" t="n">
        <v>8506</v>
      </c>
      <c r="H14" s="113" t="n">
        <v>1396</v>
      </c>
      <c r="I14" s="113" t="n">
        <v>7110</v>
      </c>
      <c r="J14" s="114" t="n">
        <v>176.84</v>
      </c>
      <c r="K14" s="114" t="n">
        <v>176.65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南亞科(2408)</t>
        </is>
      </c>
      <c r="E15" s="113" t="n">
        <v>128</v>
      </c>
      <c r="F15" s="113" t="n">
        <v>25</v>
      </c>
      <c r="G15" s="113" t="n">
        <v>6700</v>
      </c>
      <c r="H15" s="113" t="n">
        <v>1273</v>
      </c>
      <c r="I15" s="113" t="n">
        <v>5427</v>
      </c>
      <c r="J15" s="114" t="n">
        <v>523.41</v>
      </c>
      <c r="K15" s="114" t="n">
        <v>509.32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雙鴻(3324)</t>
        </is>
      </c>
      <c r="E16" s="113" t="n">
        <v>37</v>
      </c>
      <c r="F16" s="113" t="n">
        <v>5</v>
      </c>
      <c r="G16" s="113" t="n">
        <v>5103</v>
      </c>
      <c r="H16" s="113" t="n">
        <v>679</v>
      </c>
      <c r="I16" s="113" t="n">
        <v>4424</v>
      </c>
      <c r="J16" s="114" t="n">
        <v>1379.08</v>
      </c>
      <c r="K16" s="114" t="n">
        <v>1357.8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金居(8358)</t>
        </is>
      </c>
      <c r="E17" s="113" t="n">
        <v>81</v>
      </c>
      <c r="F17" s="113" t="n">
        <v>52</v>
      </c>
      <c r="G17" s="113" t="n">
        <v>4444</v>
      </c>
      <c r="H17" s="113" t="n">
        <v>2775</v>
      </c>
      <c r="I17" s="113" t="n">
        <v>1669</v>
      </c>
      <c r="J17" s="114" t="n">
        <v>548.58</v>
      </c>
      <c r="K17" s="114" t="n">
        <v>533.71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聯發科(2454)</t>
        </is>
      </c>
      <c r="E18" s="113" t="n">
        <v>10</v>
      </c>
      <c r="F18" s="113" t="n">
        <v>4</v>
      </c>
      <c r="G18" s="113" t="n">
        <v>4352</v>
      </c>
      <c r="H18" s="113" t="n">
        <v>1868</v>
      </c>
      <c r="I18" s="113" t="n">
        <v>2484</v>
      </c>
      <c r="J18" s="114" t="n">
        <v>4352.1</v>
      </c>
      <c r="K18" s="114" t="n">
        <v>4670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川湖(2059)</t>
        </is>
      </c>
      <c r="E19" s="113" t="n">
        <v>2</v>
      </c>
      <c r="F19" s="113" t="n">
        <v>1</v>
      </c>
      <c r="G19" s="113" t="n">
        <v>3005</v>
      </c>
      <c r="H19" s="113" t="n">
        <v>175</v>
      </c>
      <c r="I19" s="113" t="n">
        <v>2830</v>
      </c>
      <c r="J19" s="114" t="n">
        <v>15027</v>
      </c>
      <c r="K19" s="114" t="n">
        <v>1751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同欣電(6271)</t>
        </is>
      </c>
      <c r="E20" s="113" t="n">
        <v>88</v>
      </c>
      <c r="F20" s="113" t="n">
        <v>69</v>
      </c>
      <c r="G20" s="113" t="n">
        <v>2023</v>
      </c>
      <c r="H20" s="113" t="n">
        <v>1597</v>
      </c>
      <c r="I20" s="113" t="n">
        <v>426</v>
      </c>
      <c r="J20" s="114" t="n">
        <v>229.84</v>
      </c>
      <c r="K20" s="114" t="n">
        <v>231.51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金像電(2368)</t>
        </is>
      </c>
      <c r="E21" s="113" t="n">
        <v>16</v>
      </c>
      <c r="F21" s="113" t="n">
        <v>3</v>
      </c>
      <c r="G21" s="113" t="n">
        <v>1959</v>
      </c>
      <c r="H21" s="113" t="n">
        <v>356</v>
      </c>
      <c r="I21" s="113" t="n">
        <v>1603</v>
      </c>
      <c r="J21" s="114" t="n">
        <v>1224.12</v>
      </c>
      <c r="K21" s="114" t="n">
        <v>1187.33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精材(3374)</t>
        </is>
      </c>
      <c r="E22" s="113" t="n">
        <v>46</v>
      </c>
      <c r="F22" s="113" t="n">
        <v>34</v>
      </c>
      <c r="G22" s="113" t="n">
        <v>1944</v>
      </c>
      <c r="H22" s="113" t="n">
        <v>1447</v>
      </c>
      <c r="I22" s="113" t="n">
        <v>497</v>
      </c>
      <c r="J22" s="114" t="n">
        <v>422.5</v>
      </c>
      <c r="K22" s="114" t="n">
        <v>425.62</v>
      </c>
      <c r="L22" s="236">
        <f>F22*(K22-J22)</f>
        <v/>
      </c>
    </row>
    <row r="23" ht="16.5" customHeight="1">
      <c r="A23" s="118" t="n"/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A24" s="116" t="n"/>
      <c r="B24" s="111" t="inlineStr">
        <is>
          <t>國票-彰化</t>
        </is>
      </c>
      <c r="C24" s="111" t="inlineStr">
        <is>
          <t>779W</t>
        </is>
      </c>
      <c r="D24" s="112" t="inlineStr">
        <is>
          <t>由田(3455)</t>
        </is>
      </c>
      <c r="E24" s="113" t="n">
        <v>41</v>
      </c>
      <c r="F24" s="113" t="n">
        <v>3</v>
      </c>
      <c r="G24" s="113" t="n">
        <v>1097</v>
      </c>
      <c r="H24" s="113" t="n">
        <v>80</v>
      </c>
      <c r="I24" s="113" t="n">
        <v>1017</v>
      </c>
      <c r="J24" s="114" t="n">
        <v>267.54</v>
      </c>
      <c r="K24" s="114" t="n">
        <v>267.33</v>
      </c>
      <c r="L24" s="235">
        <f>F24*(K24-J24)</f>
        <v/>
      </c>
    </row>
    <row r="25" ht="16.5" customHeight="1">
      <c r="A25" s="116" t="n"/>
      <c r="B25" s="116" t="n"/>
      <c r="C25" s="116" t="n"/>
      <c r="D25" s="112" t="inlineStr">
        <is>
          <t>合晶(6182)</t>
        </is>
      </c>
      <c r="E25" s="113" t="n">
        <v>66</v>
      </c>
      <c r="F25" s="113" t="n">
        <v>17</v>
      </c>
      <c r="G25" s="113" t="n">
        <v>765</v>
      </c>
      <c r="H25" s="113" t="n">
        <v>191</v>
      </c>
      <c r="I25" s="113" t="n">
        <v>574</v>
      </c>
      <c r="J25" s="114" t="n">
        <v>115.92</v>
      </c>
      <c r="K25" s="114" t="n">
        <v>112.29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南亞科(2408)</t>
        </is>
      </c>
      <c r="E26" s="113" t="n">
        <v>15</v>
      </c>
      <c r="F26" s="113" t="n">
        <v>2</v>
      </c>
      <c r="G26" s="113" t="n">
        <v>758</v>
      </c>
      <c r="H26" s="113" t="n">
        <v>103</v>
      </c>
      <c r="I26" s="113" t="n">
        <v>655</v>
      </c>
      <c r="J26" s="114" t="n">
        <v>505.4</v>
      </c>
      <c r="K26" s="114" t="n">
        <v>517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南亞(1303)</t>
        </is>
      </c>
      <c r="E27" s="113" t="n">
        <v>31</v>
      </c>
      <c r="F27" s="113" t="n">
        <v>22</v>
      </c>
      <c r="G27" s="113" t="n">
        <v>736</v>
      </c>
      <c r="H27" s="113" t="n">
        <v>527</v>
      </c>
      <c r="I27" s="113" t="n">
        <v>209</v>
      </c>
      <c r="J27" s="114" t="n">
        <v>237.45</v>
      </c>
      <c r="K27" s="114" t="n">
        <v>239.73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同欣電(6271)</t>
        </is>
      </c>
      <c r="E28" s="113" t="n">
        <v>30</v>
      </c>
      <c r="F28" s="113" t="n">
        <v>0</v>
      </c>
      <c r="G28" s="113" t="n">
        <v>699</v>
      </c>
      <c r="H28" s="113" t="n">
        <v>0</v>
      </c>
      <c r="I28" s="113" t="n">
        <v>699</v>
      </c>
      <c r="J28" s="114" t="n">
        <v>233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國巨*(2327)</t>
        </is>
      </c>
      <c r="E29" s="113" t="n">
        <v>11</v>
      </c>
      <c r="F29" s="113" t="n">
        <v>8</v>
      </c>
      <c r="G29" s="113" t="n">
        <v>611</v>
      </c>
      <c r="H29" s="113" t="n">
        <v>457</v>
      </c>
      <c r="I29" s="113" t="n">
        <v>154</v>
      </c>
      <c r="J29" s="114" t="n">
        <v>555.36</v>
      </c>
      <c r="K29" s="114" t="n">
        <v>570.88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緯創(3231)</t>
        </is>
      </c>
      <c r="E30" s="113" t="n">
        <v>26</v>
      </c>
      <c r="F30" s="113" t="n">
        <v>2</v>
      </c>
      <c r="G30" s="113" t="n">
        <v>473</v>
      </c>
      <c r="H30" s="113" t="n">
        <v>36</v>
      </c>
      <c r="I30" s="113" t="n">
        <v>437</v>
      </c>
      <c r="J30" s="114" t="n">
        <v>182</v>
      </c>
      <c r="K30" s="114" t="n">
        <v>182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聯鈞(3450)</t>
        </is>
      </c>
      <c r="E31" s="113" t="n">
        <v>7</v>
      </c>
      <c r="F31" s="113" t="n">
        <v>4</v>
      </c>
      <c r="G31" s="113" t="n">
        <v>446</v>
      </c>
      <c r="H31" s="113" t="n">
        <v>250</v>
      </c>
      <c r="I31" s="113" t="n">
        <v>196</v>
      </c>
      <c r="J31" s="114" t="n">
        <v>636.5700000000001</v>
      </c>
      <c r="K31" s="114" t="n">
        <v>625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華邦電(2344)</t>
        </is>
      </c>
      <c r="E32" s="113" t="n">
        <v>24</v>
      </c>
      <c r="F32" s="113" t="n">
        <v>5</v>
      </c>
      <c r="G32" s="113" t="n">
        <v>420</v>
      </c>
      <c r="H32" s="113" t="n">
        <v>89</v>
      </c>
      <c r="I32" s="113" t="n">
        <v>331</v>
      </c>
      <c r="J32" s="114" t="n">
        <v>174.83</v>
      </c>
      <c r="K32" s="114" t="n">
        <v>178.4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台虹(8039)</t>
        </is>
      </c>
      <c r="E33" s="113" t="n">
        <v>13</v>
      </c>
      <c r="F33" s="113" t="n">
        <v>5</v>
      </c>
      <c r="G33" s="113" t="n">
        <v>418</v>
      </c>
      <c r="H33" s="113" t="n">
        <v>160</v>
      </c>
      <c r="I33" s="113" t="n">
        <v>258</v>
      </c>
      <c r="J33" s="114" t="n">
        <v>321.77</v>
      </c>
      <c r="K33" s="114" t="n">
        <v>320.4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南亞科(2408)</t>
        </is>
      </c>
      <c r="E35" s="122" t="n">
        <v>238</v>
      </c>
      <c r="F35" s="122" t="n">
        <v>87</v>
      </c>
      <c r="G35" s="122" t="n">
        <v>12545</v>
      </c>
      <c r="H35" s="122" t="n">
        <v>4537</v>
      </c>
      <c r="I35" s="122" t="n">
        <v>8008</v>
      </c>
      <c r="J35" s="123" t="n">
        <v>527.1</v>
      </c>
      <c r="K35" s="123" t="n">
        <v>521.54</v>
      </c>
      <c r="L35" s="235">
        <f>F35*(K35-J35)</f>
        <v/>
      </c>
    </row>
    <row r="36" ht="16.5" customHeight="1">
      <c r="A36" s="124" t="n"/>
      <c r="B36" s="124" t="n"/>
      <c r="C36" s="124" t="n"/>
      <c r="D36" s="121" t="inlineStr">
        <is>
          <t>華邦電(2344)</t>
        </is>
      </c>
      <c r="E36" s="122" t="n">
        <v>535</v>
      </c>
      <c r="F36" s="122" t="n">
        <v>153</v>
      </c>
      <c r="G36" s="122" t="n">
        <v>9478</v>
      </c>
      <c r="H36" s="122" t="n">
        <v>2707</v>
      </c>
      <c r="I36" s="122" t="n">
        <v>6771</v>
      </c>
      <c r="J36" s="123" t="n">
        <v>177.15</v>
      </c>
      <c r="K36" s="123" t="n">
        <v>176.95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聯鈞(3450)</t>
        </is>
      </c>
      <c r="E37" s="122" t="n">
        <v>123</v>
      </c>
      <c r="F37" s="122" t="n">
        <v>25</v>
      </c>
      <c r="G37" s="122" t="n">
        <v>7819</v>
      </c>
      <c r="H37" s="122" t="n">
        <v>1560</v>
      </c>
      <c r="I37" s="122" t="n">
        <v>6259</v>
      </c>
      <c r="J37" s="123" t="n">
        <v>635.72</v>
      </c>
      <c r="K37" s="123" t="n">
        <v>624.04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力積電(6770)</t>
        </is>
      </c>
      <c r="E38" s="122" t="n">
        <v>1080</v>
      </c>
      <c r="F38" s="122" t="n">
        <v>228</v>
      </c>
      <c r="G38" s="122" t="n">
        <v>7707</v>
      </c>
      <c r="H38" s="122" t="n">
        <v>1611</v>
      </c>
      <c r="I38" s="122" t="n">
        <v>6096</v>
      </c>
      <c r="J38" s="123" t="n">
        <v>71.36</v>
      </c>
      <c r="K38" s="123" t="n">
        <v>70.66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健策(3653)</t>
        </is>
      </c>
      <c r="E39" s="122" t="n">
        <v>9</v>
      </c>
      <c r="F39" s="122" t="n">
        <v>5</v>
      </c>
      <c r="G39" s="122" t="n">
        <v>5532</v>
      </c>
      <c r="H39" s="122" t="n">
        <v>3125</v>
      </c>
      <c r="I39" s="122" t="n">
        <v>2407</v>
      </c>
      <c r="J39" s="123" t="n">
        <v>6147</v>
      </c>
      <c r="K39" s="123" t="n">
        <v>6250.4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富邦金(2881)</t>
        </is>
      </c>
      <c r="E40" s="122" t="n">
        <v>378</v>
      </c>
      <c r="F40" s="122" t="n">
        <v>47</v>
      </c>
      <c r="G40" s="122" t="n">
        <v>5421</v>
      </c>
      <c r="H40" s="122" t="n">
        <v>684</v>
      </c>
      <c r="I40" s="122" t="n">
        <v>4737</v>
      </c>
      <c r="J40" s="123" t="n">
        <v>143.42</v>
      </c>
      <c r="K40" s="123" t="n">
        <v>145.51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尖點(8021)</t>
        </is>
      </c>
      <c r="E41" s="122" t="n">
        <v>113</v>
      </c>
      <c r="F41" s="122" t="n">
        <v>12</v>
      </c>
      <c r="G41" s="122" t="n">
        <v>5120</v>
      </c>
      <c r="H41" s="122" t="n">
        <v>562</v>
      </c>
      <c r="I41" s="122" t="n">
        <v>4558</v>
      </c>
      <c r="J41" s="123" t="n">
        <v>453.06</v>
      </c>
      <c r="K41" s="123" t="n">
        <v>468.58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金居(8358)</t>
        </is>
      </c>
      <c r="E42" s="122" t="n">
        <v>96</v>
      </c>
      <c r="F42" s="122" t="n">
        <v>76</v>
      </c>
      <c r="G42" s="122" t="n">
        <v>5024</v>
      </c>
      <c r="H42" s="122" t="n">
        <v>3973</v>
      </c>
      <c r="I42" s="122" t="n">
        <v>1051</v>
      </c>
      <c r="J42" s="123" t="n">
        <v>523.3099999999999</v>
      </c>
      <c r="K42" s="123" t="n">
        <v>522.79</v>
      </c>
      <c r="L42" s="235">
        <f>F42*(K42-J42)</f>
        <v/>
      </c>
    </row>
    <row r="43" ht="16.5" customHeight="1">
      <c r="A43" s="124" t="n"/>
      <c r="B43" s="124" t="n"/>
      <c r="C43" s="124" t="n"/>
      <c r="D43" s="121" t="inlineStr">
        <is>
          <t>南亞(1303)</t>
        </is>
      </c>
      <c r="E43" s="122" t="n">
        <v>202</v>
      </c>
      <c r="F43" s="122" t="n">
        <v>131</v>
      </c>
      <c r="G43" s="122" t="n">
        <v>4790</v>
      </c>
      <c r="H43" s="122" t="n">
        <v>3139</v>
      </c>
      <c r="I43" s="122" t="n">
        <v>1651</v>
      </c>
      <c r="J43" s="123" t="n">
        <v>237.15</v>
      </c>
      <c r="K43" s="123" t="n">
        <v>239.63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金像電(2368)</t>
        </is>
      </c>
      <c r="E44" s="122" t="n">
        <v>38</v>
      </c>
      <c r="F44" s="122" t="n">
        <v>23</v>
      </c>
      <c r="G44" s="122" t="n">
        <v>4625</v>
      </c>
      <c r="H44" s="122" t="n">
        <v>2866</v>
      </c>
      <c r="I44" s="122" t="n">
        <v>1759</v>
      </c>
      <c r="J44" s="123" t="n">
        <v>1217.08</v>
      </c>
      <c r="K44" s="123" t="n">
        <v>1246.04</v>
      </c>
      <c r="L44" s="236">
        <f>F44*(K44-J44)</f>
        <v/>
      </c>
    </row>
    <row r="45" ht="16.5" customHeight="1">
      <c r="A45" s="125" t="n"/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A46" s="124" t="n"/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南電(8046)</t>
        </is>
      </c>
      <c r="E46" s="122" t="n">
        <v>28</v>
      </c>
      <c r="F46" s="122" t="n">
        <v>13</v>
      </c>
      <c r="G46" s="122" t="n">
        <v>3491</v>
      </c>
      <c r="H46" s="122" t="n">
        <v>1572</v>
      </c>
      <c r="I46" s="122" t="n">
        <v>1919</v>
      </c>
      <c r="J46" s="123" t="n">
        <v>1246.75</v>
      </c>
      <c r="K46" s="123" t="n">
        <v>1209.54</v>
      </c>
      <c r="L46" s="235">
        <f>F46*(K46-J46)</f>
        <v/>
      </c>
    </row>
    <row r="47" ht="16.5" customHeight="1">
      <c r="A47" s="124" t="n"/>
      <c r="B47" s="124" t="n"/>
      <c r="C47" s="124" t="n"/>
      <c r="D47" s="121" t="inlineStr">
        <is>
          <t>大量(3167)</t>
        </is>
      </c>
      <c r="E47" s="122" t="n">
        <v>41</v>
      </c>
      <c r="F47" s="122" t="n">
        <v>5</v>
      </c>
      <c r="G47" s="122" t="n">
        <v>3361</v>
      </c>
      <c r="H47" s="122" t="n">
        <v>409</v>
      </c>
      <c r="I47" s="122" t="n">
        <v>2952</v>
      </c>
      <c r="J47" s="123" t="n">
        <v>819.66</v>
      </c>
      <c r="K47" s="123" t="n">
        <v>818.2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世芯-KY(3661)</t>
        </is>
      </c>
      <c r="E48" s="122" t="n">
        <v>7</v>
      </c>
      <c r="F48" s="122" t="n">
        <v>6</v>
      </c>
      <c r="G48" s="122" t="n">
        <v>2953</v>
      </c>
      <c r="H48" s="122" t="n">
        <v>2618</v>
      </c>
      <c r="I48" s="122" t="n">
        <v>335</v>
      </c>
      <c r="J48" s="123" t="n">
        <v>4218.14</v>
      </c>
      <c r="K48" s="123" t="n">
        <v>4363.5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大立光(3008)</t>
        </is>
      </c>
      <c r="E49" s="122" t="n">
        <v>3</v>
      </c>
      <c r="F49" s="122" t="n">
        <v>1</v>
      </c>
      <c r="G49" s="122" t="n">
        <v>2420</v>
      </c>
      <c r="H49" s="122" t="n">
        <v>139</v>
      </c>
      <c r="I49" s="122" t="n">
        <v>2281</v>
      </c>
      <c r="J49" s="123" t="n">
        <v>8065.67</v>
      </c>
      <c r="K49" s="123" t="n">
        <v>1390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南亞科(2408)</t>
        </is>
      </c>
      <c r="E50" s="122" t="n">
        <v>39</v>
      </c>
      <c r="F50" s="122" t="n">
        <v>5</v>
      </c>
      <c r="G50" s="122" t="n">
        <v>2071</v>
      </c>
      <c r="H50" s="122" t="n">
        <v>244</v>
      </c>
      <c r="I50" s="122" t="n">
        <v>1827</v>
      </c>
      <c r="J50" s="123" t="n">
        <v>530.95</v>
      </c>
      <c r="K50" s="123" t="n">
        <v>487.6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上詮(3363)</t>
        </is>
      </c>
      <c r="E51" s="122" t="n">
        <v>27</v>
      </c>
      <c r="F51" s="122" t="n">
        <v>4</v>
      </c>
      <c r="G51" s="122" t="n">
        <v>2055</v>
      </c>
      <c r="H51" s="122" t="n">
        <v>315</v>
      </c>
      <c r="I51" s="122" t="n">
        <v>1740</v>
      </c>
      <c r="J51" s="123" t="n">
        <v>761.04</v>
      </c>
      <c r="K51" s="123" t="n">
        <v>788.25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聯鈞(3450)</t>
        </is>
      </c>
      <c r="E52" s="122" t="n">
        <v>26</v>
      </c>
      <c r="F52" s="122" t="n">
        <v>10</v>
      </c>
      <c r="G52" s="122" t="n">
        <v>1663</v>
      </c>
      <c r="H52" s="122" t="n">
        <v>643</v>
      </c>
      <c r="I52" s="122" t="n">
        <v>1020</v>
      </c>
      <c r="J52" s="123" t="n">
        <v>639.58</v>
      </c>
      <c r="K52" s="123" t="n">
        <v>642.7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景碩(3189)</t>
        </is>
      </c>
      <c r="E53" s="122" t="n">
        <v>14</v>
      </c>
      <c r="F53" s="122" t="n">
        <v>10</v>
      </c>
      <c r="G53" s="122" t="n">
        <v>1238</v>
      </c>
      <c r="H53" s="122" t="n">
        <v>908</v>
      </c>
      <c r="I53" s="122" t="n">
        <v>330</v>
      </c>
      <c r="J53" s="123" t="n">
        <v>884.29</v>
      </c>
      <c r="K53" s="123" t="n">
        <v>908.4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富世達(6805)</t>
        </is>
      </c>
      <c r="E54" s="122" t="n">
        <v>5</v>
      </c>
      <c r="F54" s="122" t="n">
        <v>1</v>
      </c>
      <c r="G54" s="122" t="n">
        <v>1157</v>
      </c>
      <c r="H54" s="122" t="n">
        <v>2</v>
      </c>
      <c r="I54" s="122" t="n">
        <v>1155</v>
      </c>
      <c r="J54" s="123" t="n">
        <v>2313.8</v>
      </c>
      <c r="K54" s="123" t="n">
        <v>23</v>
      </c>
      <c r="L54" s="235">
        <f>F54*(K54-J54)</f>
        <v/>
      </c>
    </row>
    <row r="55" ht="16.5" customHeight="1">
      <c r="A55" s="124" t="n"/>
      <c r="B55" s="124" t="n"/>
      <c r="C55" s="124" t="n"/>
      <c r="D55" s="121" t="inlineStr">
        <is>
          <t>華邦電(2344)</t>
        </is>
      </c>
      <c r="E55" s="122" t="n">
        <v>62</v>
      </c>
      <c r="F55" s="122" t="n">
        <v>26</v>
      </c>
      <c r="G55" s="122" t="n">
        <v>1100</v>
      </c>
      <c r="H55" s="122" t="n">
        <v>462</v>
      </c>
      <c r="I55" s="122" t="n">
        <v>638</v>
      </c>
      <c r="J55" s="123" t="n">
        <v>177.34</v>
      </c>
      <c r="K55" s="123" t="n">
        <v>177.5</v>
      </c>
      <c r="L55" s="236">
        <f>F55*(K55-J55)</f>
        <v/>
      </c>
    </row>
    <row r="56" ht="16.5" customHeight="1">
      <c r="A56" s="125" t="n"/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A57" s="124" t="n"/>
      <c r="B57" s="120" t="inlineStr">
        <is>
          <t>宏遠證券</t>
        </is>
      </c>
      <c r="C57" s="120" t="inlineStr">
        <is>
          <t>1260</t>
        </is>
      </c>
      <c r="D57" s="121" t="inlineStr">
        <is>
          <t>日月光投控(3711)</t>
        </is>
      </c>
      <c r="E57" s="122" t="n">
        <v>207</v>
      </c>
      <c r="F57" s="122" t="n">
        <v>6</v>
      </c>
      <c r="G57" s="122" t="n">
        <v>12623</v>
      </c>
      <c r="H57" s="122" t="n">
        <v>332</v>
      </c>
      <c r="I57" s="122" t="n">
        <v>12291</v>
      </c>
      <c r="J57" s="123" t="n">
        <v>609.8099999999999</v>
      </c>
      <c r="K57" s="123" t="n">
        <v>552.5</v>
      </c>
      <c r="L57" s="235">
        <f>F57*(K57-J57)</f>
        <v/>
      </c>
    </row>
    <row r="58" ht="16.5" customHeight="1">
      <c r="A58" s="124" t="n"/>
      <c r="B58" s="124" t="n"/>
      <c r="C58" s="124" t="n"/>
      <c r="D58" s="121" t="inlineStr">
        <is>
          <t>臻鼎-KY(4958)</t>
        </is>
      </c>
      <c r="E58" s="122" t="n">
        <v>226</v>
      </c>
      <c r="F58" s="122" t="n">
        <v>107</v>
      </c>
      <c r="G58" s="122" t="n">
        <v>12035</v>
      </c>
      <c r="H58" s="122" t="n">
        <v>5821</v>
      </c>
      <c r="I58" s="122" t="n">
        <v>6214</v>
      </c>
      <c r="J58" s="123" t="n">
        <v>532.5</v>
      </c>
      <c r="K58" s="123" t="n">
        <v>543.99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欣興(3037)</t>
        </is>
      </c>
      <c r="E59" s="122" t="n">
        <v>84</v>
      </c>
      <c r="F59" s="122" t="n">
        <v>32</v>
      </c>
      <c r="G59" s="122" t="n">
        <v>8009</v>
      </c>
      <c r="H59" s="122" t="n">
        <v>3075</v>
      </c>
      <c r="I59" s="122" t="n">
        <v>4934</v>
      </c>
      <c r="J59" s="123" t="n">
        <v>953.42</v>
      </c>
      <c r="K59" s="123" t="n">
        <v>960.91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禾伸堂(3026)</t>
        </is>
      </c>
      <c r="E60" s="122" t="n">
        <v>61</v>
      </c>
      <c r="F60" s="122" t="n">
        <v>0</v>
      </c>
      <c r="G60" s="122" t="n">
        <v>4639</v>
      </c>
      <c r="H60" s="122" t="n">
        <v>0</v>
      </c>
      <c r="I60" s="122" t="n">
        <v>4639</v>
      </c>
      <c r="J60" s="123" t="n">
        <v>760.46</v>
      </c>
      <c r="K60" s="123" t="n">
        <v>0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可成(2474)</t>
        </is>
      </c>
      <c r="E61" s="122" t="n">
        <v>195</v>
      </c>
      <c r="F61" s="122" t="n">
        <v>161</v>
      </c>
      <c r="G61" s="122" t="n">
        <v>4153</v>
      </c>
      <c r="H61" s="122" t="n">
        <v>3436</v>
      </c>
      <c r="I61" s="122" t="n">
        <v>717</v>
      </c>
      <c r="J61" s="123" t="n">
        <v>212.98</v>
      </c>
      <c r="K61" s="123" t="n">
        <v>213.4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精材(3374)</t>
        </is>
      </c>
      <c r="E62" s="122" t="n">
        <v>96</v>
      </c>
      <c r="F62" s="122" t="n">
        <v>5</v>
      </c>
      <c r="G62" s="122" t="n">
        <v>4098</v>
      </c>
      <c r="H62" s="122" t="n">
        <v>212</v>
      </c>
      <c r="I62" s="122" t="n">
        <v>3886</v>
      </c>
      <c r="J62" s="123" t="n">
        <v>426.84</v>
      </c>
      <c r="K62" s="123" t="n">
        <v>424.2</v>
      </c>
      <c r="L62" s="235">
        <f>F62*(K62-J62)</f>
        <v/>
      </c>
    </row>
    <row r="63" ht="16.5" customHeight="1">
      <c r="A63" s="124" t="n"/>
      <c r="B63" s="124" t="n"/>
      <c r="C63" s="124" t="n"/>
      <c r="D63" s="121" t="inlineStr">
        <is>
          <t>精測(6510)</t>
        </is>
      </c>
      <c r="E63" s="122" t="n">
        <v>11</v>
      </c>
      <c r="F63" s="122" t="n">
        <v>0</v>
      </c>
      <c r="G63" s="122" t="n">
        <v>3288</v>
      </c>
      <c r="H63" s="122" t="n">
        <v>0</v>
      </c>
      <c r="I63" s="122" t="n">
        <v>3288</v>
      </c>
      <c r="J63" s="123" t="n">
        <v>2988.64</v>
      </c>
      <c r="K63" s="123" t="n">
        <v>0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鴻勁(7769)</t>
        </is>
      </c>
      <c r="E64" s="122" t="n">
        <v>5</v>
      </c>
      <c r="F64" s="122" t="n">
        <v>1</v>
      </c>
      <c r="G64" s="122" t="n">
        <v>2959</v>
      </c>
      <c r="H64" s="122" t="n">
        <v>591</v>
      </c>
      <c r="I64" s="122" t="n">
        <v>2368</v>
      </c>
      <c r="J64" s="123" t="n">
        <v>5918.8</v>
      </c>
      <c r="K64" s="123" t="n">
        <v>5908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台勝科(3532)</t>
        </is>
      </c>
      <c r="E65" s="122" t="n">
        <v>61</v>
      </c>
      <c r="F65" s="122" t="n">
        <v>14</v>
      </c>
      <c r="G65" s="122" t="n">
        <v>2438</v>
      </c>
      <c r="H65" s="122" t="n">
        <v>559</v>
      </c>
      <c r="I65" s="122" t="n">
        <v>1879</v>
      </c>
      <c r="J65" s="123" t="n">
        <v>399.62</v>
      </c>
      <c r="K65" s="123" t="n">
        <v>399.14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貿聯-KY(3665)</t>
        </is>
      </c>
      <c r="E66" s="122" t="n">
        <v>10</v>
      </c>
      <c r="F66" s="122" t="n">
        <v>1</v>
      </c>
      <c r="G66" s="122" t="n">
        <v>2291</v>
      </c>
      <c r="H66" s="122" t="n">
        <v>2</v>
      </c>
      <c r="I66" s="122" t="n">
        <v>2289</v>
      </c>
      <c r="J66" s="123" t="n">
        <v>2291.2</v>
      </c>
      <c r="K66" s="123" t="n">
        <v>23</v>
      </c>
      <c r="L66" s="235">
        <f>F66*(K66-J66)</f>
        <v/>
      </c>
    </row>
    <row r="67" ht="16.5" customHeight="1">
      <c r="A67" s="125" t="n"/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A68" s="124" t="n"/>
      <c r="B68" s="120" t="inlineStr">
        <is>
          <t>凱基-信義</t>
        </is>
      </c>
      <c r="C68" s="120" t="inlineStr">
        <is>
          <t>9216</t>
        </is>
      </c>
      <c r="D68" s="121" t="inlineStr">
        <is>
          <t>臻鼎-KY(4958)</t>
        </is>
      </c>
      <c r="E68" s="122" t="n">
        <v>2468</v>
      </c>
      <c r="F68" s="122" t="n">
        <v>1925</v>
      </c>
      <c r="G68" s="122" t="n">
        <v>134962</v>
      </c>
      <c r="H68" s="122" t="n">
        <v>103383</v>
      </c>
      <c r="I68" s="122" t="n">
        <v>31579</v>
      </c>
      <c r="J68" s="123" t="n">
        <v>546.85</v>
      </c>
      <c r="K68" s="123" t="n">
        <v>537.0599999999999</v>
      </c>
      <c r="L68" s="235">
        <f>F68*(K68-J68)</f>
        <v/>
      </c>
    </row>
    <row r="69" ht="16.5" customHeight="1">
      <c r="A69" s="124" t="n"/>
      <c r="B69" s="124" t="n"/>
      <c r="C69" s="124" t="n"/>
      <c r="D69" s="121" t="inlineStr">
        <is>
          <t>合晶(6182)</t>
        </is>
      </c>
      <c r="E69" s="122" t="n">
        <v>2407</v>
      </c>
      <c r="F69" s="122" t="n">
        <v>432</v>
      </c>
      <c r="G69" s="122" t="n">
        <v>27842</v>
      </c>
      <c r="H69" s="122" t="n">
        <v>4883</v>
      </c>
      <c r="I69" s="122" t="n">
        <v>22959</v>
      </c>
      <c r="J69" s="123" t="n">
        <v>115.67</v>
      </c>
      <c r="K69" s="123" t="n">
        <v>113.04</v>
      </c>
      <c r="L69" s="235">
        <f>F69*(K69-J69)</f>
        <v/>
      </c>
    </row>
    <row r="70" ht="16.5" customHeight="1">
      <c r="A70" s="124" t="n"/>
      <c r="B70" s="124" t="n"/>
      <c r="C70" s="124" t="n"/>
      <c r="D70" s="121" t="inlineStr">
        <is>
          <t>欣興(3037)</t>
        </is>
      </c>
      <c r="E70" s="122" t="n">
        <v>224</v>
      </c>
      <c r="F70" s="122" t="n">
        <v>165</v>
      </c>
      <c r="G70" s="122" t="n">
        <v>20971</v>
      </c>
      <c r="H70" s="122" t="n">
        <v>15731</v>
      </c>
      <c r="I70" s="122" t="n">
        <v>5240</v>
      </c>
      <c r="J70" s="123" t="n">
        <v>936.2</v>
      </c>
      <c r="K70" s="123" t="n">
        <v>953.41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聯發科(2454)</t>
        </is>
      </c>
      <c r="E71" s="122" t="n">
        <v>48</v>
      </c>
      <c r="F71" s="122" t="n">
        <v>5</v>
      </c>
      <c r="G71" s="122" t="n">
        <v>20755</v>
      </c>
      <c r="H71" s="122" t="n">
        <v>2264</v>
      </c>
      <c r="I71" s="122" t="n">
        <v>18491</v>
      </c>
      <c r="J71" s="123" t="n">
        <v>4324</v>
      </c>
      <c r="K71" s="123" t="n">
        <v>4528.2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松川精密(7788)</t>
        </is>
      </c>
      <c r="E72" s="122" t="n">
        <v>260</v>
      </c>
      <c r="F72" s="122" t="n">
        <v>0</v>
      </c>
      <c r="G72" s="122" t="n">
        <v>8219</v>
      </c>
      <c r="H72" s="122" t="n">
        <v>0</v>
      </c>
      <c r="I72" s="122" t="n">
        <v>8219</v>
      </c>
      <c r="J72" s="123" t="n">
        <v>316.11</v>
      </c>
      <c r="K72" s="123" t="n">
        <v>0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上詮(3363)</t>
        </is>
      </c>
      <c r="E73" s="122" t="n">
        <v>98</v>
      </c>
      <c r="F73" s="122" t="n">
        <v>3</v>
      </c>
      <c r="G73" s="122" t="n">
        <v>7616</v>
      </c>
      <c r="H73" s="122" t="n">
        <v>242</v>
      </c>
      <c r="I73" s="122" t="n">
        <v>7374</v>
      </c>
      <c r="J73" s="123" t="n">
        <v>777.1799999999999</v>
      </c>
      <c r="K73" s="123" t="n">
        <v>807.33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禾伸堂(3026)</t>
        </is>
      </c>
      <c r="E74" s="122" t="n">
        <v>80</v>
      </c>
      <c r="F74" s="122" t="n">
        <v>1</v>
      </c>
      <c r="G74" s="122" t="n">
        <v>6116</v>
      </c>
      <c r="H74" s="122" t="n">
        <v>2</v>
      </c>
      <c r="I74" s="122" t="n">
        <v>6114</v>
      </c>
      <c r="J74" s="123" t="n">
        <v>764.46</v>
      </c>
      <c r="K74" s="123" t="n">
        <v>15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南亞科(2408)</t>
        </is>
      </c>
      <c r="E75" s="122" t="n">
        <v>100</v>
      </c>
      <c r="F75" s="122" t="n">
        <v>5</v>
      </c>
      <c r="G75" s="122" t="n">
        <v>5213</v>
      </c>
      <c r="H75" s="122" t="n">
        <v>263</v>
      </c>
      <c r="I75" s="122" t="n">
        <v>4950</v>
      </c>
      <c r="J75" s="123" t="n">
        <v>521.29</v>
      </c>
      <c r="K75" s="123" t="n">
        <v>525.8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緯穎(6669)</t>
        </is>
      </c>
      <c r="E76" s="122" t="n">
        <v>6</v>
      </c>
      <c r="F76" s="122" t="n">
        <v>4</v>
      </c>
      <c r="G76" s="122" t="n">
        <v>4494</v>
      </c>
      <c r="H76" s="122" t="n">
        <v>3063</v>
      </c>
      <c r="I76" s="122" t="n">
        <v>1431</v>
      </c>
      <c r="J76" s="123" t="n">
        <v>7489.67</v>
      </c>
      <c r="K76" s="123" t="n">
        <v>7657.5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台燿(6274)</t>
        </is>
      </c>
      <c r="E77" s="122" t="n">
        <v>31</v>
      </c>
      <c r="F77" s="122" t="n">
        <v>3</v>
      </c>
      <c r="G77" s="122" t="n">
        <v>4474</v>
      </c>
      <c r="H77" s="122" t="n">
        <v>436</v>
      </c>
      <c r="I77" s="122" t="n">
        <v>4038</v>
      </c>
      <c r="J77" s="123" t="n">
        <v>1443.26</v>
      </c>
      <c r="K77" s="123" t="n">
        <v>1455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聯發科(2454)</t>
        </is>
      </c>
      <c r="E79" s="129" t="n">
        <v>156</v>
      </c>
      <c r="F79" s="129" t="n">
        <v>3</v>
      </c>
      <c r="G79" s="129" t="n">
        <v>67356</v>
      </c>
      <c r="H79" s="129" t="n">
        <v>1212</v>
      </c>
      <c r="I79" s="129" t="n">
        <v>66144</v>
      </c>
      <c r="J79" s="130" t="n">
        <v>4317.69</v>
      </c>
      <c r="K79" s="130" t="n">
        <v>4039</v>
      </c>
      <c r="L79" s="235">
        <f>F79*(K79-J79)</f>
        <v/>
      </c>
    </row>
    <row r="80" ht="16.5" customHeight="1">
      <c r="A80" s="131" t="n"/>
      <c r="B80" s="131" t="n"/>
      <c r="C80" s="131" t="n"/>
      <c r="D80" s="128" t="inlineStr">
        <is>
          <t>臻鼎-KY(4958)</t>
        </is>
      </c>
      <c r="E80" s="129" t="n">
        <v>667</v>
      </c>
      <c r="F80" s="129" t="n">
        <v>144</v>
      </c>
      <c r="G80" s="129" t="n">
        <v>35797</v>
      </c>
      <c r="H80" s="129" t="n">
        <v>7700</v>
      </c>
      <c r="I80" s="129" t="n">
        <v>28097</v>
      </c>
      <c r="J80" s="130" t="n">
        <v>536.6900000000001</v>
      </c>
      <c r="K80" s="130" t="n">
        <v>534.6900000000001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穩懋(3105)</t>
        </is>
      </c>
      <c r="E81" s="129" t="n">
        <v>697</v>
      </c>
      <c r="F81" s="129" t="n">
        <v>475</v>
      </c>
      <c r="G81" s="129" t="n">
        <v>34006</v>
      </c>
      <c r="H81" s="129" t="n">
        <v>21500</v>
      </c>
      <c r="I81" s="129" t="n">
        <v>12506</v>
      </c>
      <c r="J81" s="130" t="n">
        <v>487.89</v>
      </c>
      <c r="K81" s="130" t="n">
        <v>452.64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創意(3443)</t>
        </is>
      </c>
      <c r="E82" s="129" t="n">
        <v>47</v>
      </c>
      <c r="F82" s="129" t="n">
        <v>14</v>
      </c>
      <c r="G82" s="129" t="n">
        <v>27964</v>
      </c>
      <c r="H82" s="129" t="n">
        <v>8430</v>
      </c>
      <c r="I82" s="129" t="n">
        <v>19534</v>
      </c>
      <c r="J82" s="130" t="n">
        <v>5949.77</v>
      </c>
      <c r="K82" s="130" t="n">
        <v>6021.43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智邦(2345)</t>
        </is>
      </c>
      <c r="E83" s="129" t="n">
        <v>111</v>
      </c>
      <c r="F83" s="129" t="n">
        <v>2</v>
      </c>
      <c r="G83" s="129" t="n">
        <v>23697</v>
      </c>
      <c r="H83" s="129" t="n">
        <v>441</v>
      </c>
      <c r="I83" s="129" t="n">
        <v>23256</v>
      </c>
      <c r="J83" s="130" t="n">
        <v>2134.89</v>
      </c>
      <c r="K83" s="130" t="n">
        <v>2203.5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信驊(5274)</t>
        </is>
      </c>
      <c r="E84" s="129" t="n">
        <v>13</v>
      </c>
      <c r="F84" s="129" t="n">
        <v>1</v>
      </c>
      <c r="G84" s="129" t="n">
        <v>22326</v>
      </c>
      <c r="H84" s="129" t="n">
        <v>14</v>
      </c>
      <c r="I84" s="129" t="n">
        <v>22312</v>
      </c>
      <c r="J84" s="130" t="n">
        <v>17174.23</v>
      </c>
      <c r="K84" s="130" t="n">
        <v>135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貿聯-KY(3665)</t>
        </is>
      </c>
      <c r="E85" s="129" t="n">
        <v>84</v>
      </c>
      <c r="F85" s="129" t="n">
        <v>1</v>
      </c>
      <c r="G85" s="129" t="n">
        <v>19427</v>
      </c>
      <c r="H85" s="129" t="n">
        <v>90</v>
      </c>
      <c r="I85" s="129" t="n">
        <v>19337</v>
      </c>
      <c r="J85" s="130" t="n">
        <v>2312.74</v>
      </c>
      <c r="K85" s="130" t="n">
        <v>901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鼎元(2426)</t>
        </is>
      </c>
      <c r="E86" s="129" t="n">
        <v>1273</v>
      </c>
      <c r="F86" s="129" t="n">
        <v>114</v>
      </c>
      <c r="G86" s="129" t="n">
        <v>13457</v>
      </c>
      <c r="H86" s="129" t="n">
        <v>1154</v>
      </c>
      <c r="I86" s="129" t="n">
        <v>12303</v>
      </c>
      <c r="J86" s="130" t="n">
        <v>105.71</v>
      </c>
      <c r="K86" s="130" t="n">
        <v>101.24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尖點(8021)</t>
        </is>
      </c>
      <c r="E87" s="129" t="n">
        <v>275</v>
      </c>
      <c r="F87" s="129" t="n">
        <v>33</v>
      </c>
      <c r="G87" s="129" t="n">
        <v>12454</v>
      </c>
      <c r="H87" s="129" t="n">
        <v>1500</v>
      </c>
      <c r="I87" s="129" t="n">
        <v>10954</v>
      </c>
      <c r="J87" s="130" t="n">
        <v>452.87</v>
      </c>
      <c r="K87" s="130" t="n">
        <v>454.52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藥華藥(6446)</t>
        </is>
      </c>
      <c r="E88" s="129" t="n">
        <v>48</v>
      </c>
      <c r="F88" s="129" t="n">
        <v>23</v>
      </c>
      <c r="G88" s="129" t="n">
        <v>6304</v>
      </c>
      <c r="H88" s="129" t="n">
        <v>2980</v>
      </c>
      <c r="I88" s="129" t="n">
        <v>3324</v>
      </c>
      <c r="J88" s="130" t="n">
        <v>1313.4</v>
      </c>
      <c r="K88" s="130" t="n">
        <v>1295.65</v>
      </c>
      <c r="L88" s="235">
        <f>F88*(K88-J88)</f>
        <v/>
      </c>
    </row>
    <row r="89" ht="16.5" customHeight="1">
      <c r="A89" s="132" t="n"/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大立光(3008)</t>
        </is>
      </c>
      <c r="E90" s="129" t="n">
        <v>9</v>
      </c>
      <c r="F90" s="129" t="n">
        <v>1</v>
      </c>
      <c r="G90" s="129" t="n">
        <v>6966</v>
      </c>
      <c r="H90" s="129" t="n">
        <v>937</v>
      </c>
      <c r="I90" s="129" t="n">
        <v>6029</v>
      </c>
      <c r="J90" s="130" t="n">
        <v>7739.67</v>
      </c>
      <c r="K90" s="130" t="n">
        <v>9370</v>
      </c>
      <c r="L90" s="236">
        <f>F90*(K90-J90)</f>
        <v/>
      </c>
    </row>
    <row r="91" ht="16.5" customHeight="1">
      <c r="A91" s="131" t="n"/>
      <c r="B91" s="131" t="n"/>
      <c r="C91" s="131" t="n"/>
      <c r="D91" s="128" t="inlineStr">
        <is>
          <t>南亞科(2408)</t>
        </is>
      </c>
      <c r="E91" s="129" t="n">
        <v>126</v>
      </c>
      <c r="F91" s="129" t="n">
        <v>32</v>
      </c>
      <c r="G91" s="129" t="n">
        <v>6641</v>
      </c>
      <c r="H91" s="129" t="n">
        <v>1666</v>
      </c>
      <c r="I91" s="129" t="n">
        <v>4975</v>
      </c>
      <c r="J91" s="130" t="n">
        <v>527.05</v>
      </c>
      <c r="K91" s="130" t="n">
        <v>520.53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南亞(1303)</t>
        </is>
      </c>
      <c r="E92" s="129" t="n">
        <v>124</v>
      </c>
      <c r="F92" s="129" t="n">
        <v>89</v>
      </c>
      <c r="G92" s="129" t="n">
        <v>2941</v>
      </c>
      <c r="H92" s="129" t="n">
        <v>2150</v>
      </c>
      <c r="I92" s="129" t="n">
        <v>791</v>
      </c>
      <c r="J92" s="130" t="n">
        <v>237.18</v>
      </c>
      <c r="K92" s="130" t="n">
        <v>241.62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聯鈞(3450)</t>
        </is>
      </c>
      <c r="E93" s="129" t="n">
        <v>40</v>
      </c>
      <c r="F93" s="129" t="n">
        <v>14</v>
      </c>
      <c r="G93" s="129" t="n">
        <v>2568</v>
      </c>
      <c r="H93" s="129" t="n">
        <v>889</v>
      </c>
      <c r="I93" s="129" t="n">
        <v>1679</v>
      </c>
      <c r="J93" s="130" t="n">
        <v>642.05</v>
      </c>
      <c r="K93" s="130" t="n">
        <v>635</v>
      </c>
      <c r="L93" s="235">
        <f>F93*(K93-J93)</f>
        <v/>
      </c>
    </row>
    <row r="94" ht="16.5" customHeight="1">
      <c r="A94" s="131" t="n"/>
      <c r="B94" s="131" t="n"/>
      <c r="C94" s="131" t="n"/>
      <c r="D94" s="128" t="inlineStr">
        <is>
          <t>創意(3443)</t>
        </is>
      </c>
      <c r="E94" s="129" t="n">
        <v>4</v>
      </c>
      <c r="F94" s="129" t="n">
        <v>2</v>
      </c>
      <c r="G94" s="129" t="n">
        <v>2517</v>
      </c>
      <c r="H94" s="129" t="n">
        <v>1202</v>
      </c>
      <c r="I94" s="129" t="n">
        <v>1315</v>
      </c>
      <c r="J94" s="130" t="n">
        <v>6293.5</v>
      </c>
      <c r="K94" s="130" t="n">
        <v>6011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鼎元(2426)</t>
        </is>
      </c>
      <c r="E95" s="129" t="n">
        <v>229</v>
      </c>
      <c r="F95" s="129" t="n">
        <v>209</v>
      </c>
      <c r="G95" s="129" t="n">
        <v>2391</v>
      </c>
      <c r="H95" s="129" t="n">
        <v>2097</v>
      </c>
      <c r="I95" s="129" t="n">
        <v>294</v>
      </c>
      <c r="J95" s="130" t="n">
        <v>104.43</v>
      </c>
      <c r="K95" s="130" t="n">
        <v>100.32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金居(8358)</t>
        </is>
      </c>
      <c r="E96" s="129" t="n">
        <v>39</v>
      </c>
      <c r="F96" s="129" t="n">
        <v>28</v>
      </c>
      <c r="G96" s="129" t="n">
        <v>2074</v>
      </c>
      <c r="H96" s="129" t="n">
        <v>1496</v>
      </c>
      <c r="I96" s="129" t="n">
        <v>578</v>
      </c>
      <c r="J96" s="130" t="n">
        <v>531.9</v>
      </c>
      <c r="K96" s="130" t="n">
        <v>534.1799999999999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群創(3481)</t>
        </is>
      </c>
      <c r="E97" s="129" t="n">
        <v>403</v>
      </c>
      <c r="F97" s="129" t="n">
        <v>373</v>
      </c>
      <c r="G97" s="129" t="n">
        <v>1987</v>
      </c>
      <c r="H97" s="129" t="n">
        <v>1839</v>
      </c>
      <c r="I97" s="129" t="n">
        <v>148</v>
      </c>
      <c r="J97" s="130" t="n">
        <v>49.3</v>
      </c>
      <c r="K97" s="130" t="n">
        <v>49.3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台達電(2308)</t>
        </is>
      </c>
      <c r="E98" s="129" t="n">
        <v>6</v>
      </c>
      <c r="F98" s="129" t="n">
        <v>3</v>
      </c>
      <c r="G98" s="129" t="n">
        <v>1197</v>
      </c>
      <c r="H98" s="129" t="n">
        <v>623</v>
      </c>
      <c r="I98" s="129" t="n">
        <v>574</v>
      </c>
      <c r="J98" s="130" t="n">
        <v>1994.33</v>
      </c>
      <c r="K98" s="130" t="n">
        <v>2076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緯創(3231)</t>
        </is>
      </c>
      <c r="E99" s="129" t="n">
        <v>66</v>
      </c>
      <c r="F99" s="129" t="n">
        <v>18</v>
      </c>
      <c r="G99" s="129" t="n">
        <v>1190</v>
      </c>
      <c r="H99" s="129" t="n">
        <v>327</v>
      </c>
      <c r="I99" s="129" t="n">
        <v>863</v>
      </c>
      <c r="J99" s="130" t="n">
        <v>180.32</v>
      </c>
      <c r="K99" s="130" t="n">
        <v>181.67</v>
      </c>
      <c r="L99" s="236">
        <f>F99*(K99-J99)</f>
        <v/>
      </c>
    </row>
    <row r="100" ht="16.5" customHeight="1">
      <c r="A100" s="132" t="n"/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景碩(3189)</t>
        </is>
      </c>
      <c r="E101" s="129" t="n">
        <v>3554</v>
      </c>
      <c r="F101" s="129" t="n">
        <v>144</v>
      </c>
      <c r="G101" s="129" t="n">
        <v>310554</v>
      </c>
      <c r="H101" s="129" t="n">
        <v>12620</v>
      </c>
      <c r="I101" s="129" t="n">
        <v>297934</v>
      </c>
      <c r="J101" s="130" t="n">
        <v>873.8099999999999</v>
      </c>
      <c r="K101" s="130" t="n">
        <v>876.38</v>
      </c>
      <c r="L101" s="236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緯穎(6669)</t>
        </is>
      </c>
      <c r="E102" s="129" t="n">
        <v>179</v>
      </c>
      <c r="F102" s="129" t="n">
        <v>142</v>
      </c>
      <c r="G102" s="129" t="n">
        <v>139664</v>
      </c>
      <c r="H102" s="129" t="n">
        <v>110620</v>
      </c>
      <c r="I102" s="129" t="n">
        <v>29044</v>
      </c>
      <c r="J102" s="130" t="n">
        <v>7802.46</v>
      </c>
      <c r="K102" s="130" t="n">
        <v>7790.11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聯電(2303)</t>
        </is>
      </c>
      <c r="E103" s="129" t="n">
        <v>6832</v>
      </c>
      <c r="F103" s="129" t="n">
        <v>1119</v>
      </c>
      <c r="G103" s="129" t="n">
        <v>90448</v>
      </c>
      <c r="H103" s="129" t="n">
        <v>14762</v>
      </c>
      <c r="I103" s="129" t="n">
        <v>75686</v>
      </c>
      <c r="J103" s="130" t="n">
        <v>132.39</v>
      </c>
      <c r="K103" s="130" t="n">
        <v>131.92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全新(2455)</t>
        </is>
      </c>
      <c r="E104" s="129" t="n">
        <v>1279</v>
      </c>
      <c r="F104" s="129" t="n">
        <v>897</v>
      </c>
      <c r="G104" s="129" t="n">
        <v>66865</v>
      </c>
      <c r="H104" s="129" t="n">
        <v>46484</v>
      </c>
      <c r="I104" s="129" t="n">
        <v>20381</v>
      </c>
      <c r="J104" s="130" t="n">
        <v>522.79</v>
      </c>
      <c r="K104" s="130" t="n">
        <v>518.22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臻鼎-KY(4958)</t>
        </is>
      </c>
      <c r="E105" s="129" t="n">
        <v>693</v>
      </c>
      <c r="F105" s="129" t="n">
        <v>554</v>
      </c>
      <c r="G105" s="129" t="n">
        <v>37971</v>
      </c>
      <c r="H105" s="129" t="n">
        <v>29903</v>
      </c>
      <c r="I105" s="129" t="n">
        <v>8068</v>
      </c>
      <c r="J105" s="130" t="n">
        <v>547.92</v>
      </c>
      <c r="K105" s="130" t="n">
        <v>539.77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聯鈞(3450)</t>
        </is>
      </c>
      <c r="E106" s="129" t="n">
        <v>255</v>
      </c>
      <c r="F106" s="129" t="n">
        <v>42</v>
      </c>
      <c r="G106" s="129" t="n">
        <v>16214</v>
      </c>
      <c r="H106" s="129" t="n">
        <v>2669</v>
      </c>
      <c r="I106" s="129" t="n">
        <v>13545</v>
      </c>
      <c r="J106" s="130" t="n">
        <v>635.84</v>
      </c>
      <c r="K106" s="130" t="n">
        <v>635.4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南亞科(2408)</t>
        </is>
      </c>
      <c r="E107" s="129" t="n">
        <v>299</v>
      </c>
      <c r="F107" s="129" t="n">
        <v>69</v>
      </c>
      <c r="G107" s="129" t="n">
        <v>15630</v>
      </c>
      <c r="H107" s="129" t="n">
        <v>3626</v>
      </c>
      <c r="I107" s="129" t="n">
        <v>12004</v>
      </c>
      <c r="J107" s="130" t="n">
        <v>522.75</v>
      </c>
      <c r="K107" s="130" t="n">
        <v>525.46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聯發科(2454)</t>
        </is>
      </c>
      <c r="E108" s="129" t="n">
        <v>34</v>
      </c>
      <c r="F108" s="129" t="n">
        <v>9</v>
      </c>
      <c r="G108" s="129" t="n">
        <v>14651</v>
      </c>
      <c r="H108" s="129" t="n">
        <v>3746</v>
      </c>
      <c r="I108" s="129" t="n">
        <v>10905</v>
      </c>
      <c r="J108" s="130" t="n">
        <v>4309.03</v>
      </c>
      <c r="K108" s="130" t="n">
        <v>4162.56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台達電(2308)</t>
        </is>
      </c>
      <c r="E109" s="129" t="n">
        <v>74</v>
      </c>
      <c r="F109" s="129" t="n">
        <v>15</v>
      </c>
      <c r="G109" s="129" t="n">
        <v>13691</v>
      </c>
      <c r="H109" s="129" t="n">
        <v>2726</v>
      </c>
      <c r="I109" s="129" t="n">
        <v>10965</v>
      </c>
      <c r="J109" s="130" t="n">
        <v>1850.18</v>
      </c>
      <c r="K109" s="130" t="n">
        <v>1817.07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大立光(3008)</t>
        </is>
      </c>
      <c r="E110" s="129" t="n">
        <v>17</v>
      </c>
      <c r="F110" s="129" t="n">
        <v>12</v>
      </c>
      <c r="G110" s="129" t="n">
        <v>12550</v>
      </c>
      <c r="H110" s="129" t="n">
        <v>9256</v>
      </c>
      <c r="I110" s="129" t="n">
        <v>3294</v>
      </c>
      <c r="J110" s="130" t="n">
        <v>7382.53</v>
      </c>
      <c r="K110" s="130" t="n">
        <v>7713.5</v>
      </c>
      <c r="L110" s="236">
        <f>F110*(K110-J110)</f>
        <v/>
      </c>
    </row>
    <row r="111" ht="16.5" customHeight="1">
      <c r="A111" s="132" t="n"/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34</v>
      </c>
      <c r="F112" s="129" t="n">
        <v>31</v>
      </c>
      <c r="G112" s="129" t="n">
        <v>3347</v>
      </c>
      <c r="H112" s="129" t="n">
        <v>2970</v>
      </c>
      <c r="I112" s="129" t="n">
        <v>377</v>
      </c>
      <c r="J112" s="130" t="n">
        <v>984.4400000000001</v>
      </c>
      <c r="K112" s="130" t="n">
        <v>957.9</v>
      </c>
      <c r="L112" s="235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南亞科(2408)</t>
        </is>
      </c>
      <c r="E113" s="129" t="n">
        <v>54</v>
      </c>
      <c r="F113" s="129" t="n">
        <v>20</v>
      </c>
      <c r="G113" s="129" t="n">
        <v>2817</v>
      </c>
      <c r="H113" s="129" t="n">
        <v>1031</v>
      </c>
      <c r="I113" s="129" t="n">
        <v>1786</v>
      </c>
      <c r="J113" s="130" t="n">
        <v>521.63</v>
      </c>
      <c r="K113" s="130" t="n">
        <v>515.3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華邦電(2344)</t>
        </is>
      </c>
      <c r="E114" s="129" t="n">
        <v>121</v>
      </c>
      <c r="F114" s="129" t="n">
        <v>75</v>
      </c>
      <c r="G114" s="129" t="n">
        <v>2161</v>
      </c>
      <c r="H114" s="129" t="n">
        <v>1320</v>
      </c>
      <c r="I114" s="129" t="n">
        <v>841</v>
      </c>
      <c r="J114" s="130" t="n">
        <v>178.6</v>
      </c>
      <c r="K114" s="130" t="n">
        <v>175.99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南亞(1303)</t>
        </is>
      </c>
      <c r="E115" s="129" t="n">
        <v>72</v>
      </c>
      <c r="F115" s="129" t="n">
        <v>48</v>
      </c>
      <c r="G115" s="129" t="n">
        <v>1727</v>
      </c>
      <c r="H115" s="129" t="n">
        <v>1135</v>
      </c>
      <c r="I115" s="129" t="n">
        <v>592</v>
      </c>
      <c r="J115" s="130" t="n">
        <v>239.92</v>
      </c>
      <c r="K115" s="130" t="n">
        <v>236.46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華新科(2492)</t>
        </is>
      </c>
      <c r="E116" s="129" t="n">
        <v>49</v>
      </c>
      <c r="F116" s="129" t="n">
        <v>38</v>
      </c>
      <c r="G116" s="129" t="n">
        <v>1486</v>
      </c>
      <c r="H116" s="129" t="n">
        <v>1136</v>
      </c>
      <c r="I116" s="129" t="n">
        <v>350</v>
      </c>
      <c r="J116" s="130" t="n">
        <v>303.37</v>
      </c>
      <c r="K116" s="130" t="n">
        <v>299.08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力積電(6770)</t>
        </is>
      </c>
      <c r="E117" s="129" t="n">
        <v>196</v>
      </c>
      <c r="F117" s="129" t="n">
        <v>40</v>
      </c>
      <c r="G117" s="129" t="n">
        <v>1404</v>
      </c>
      <c r="H117" s="129" t="n">
        <v>281</v>
      </c>
      <c r="I117" s="129" t="n">
        <v>1123</v>
      </c>
      <c r="J117" s="130" t="n">
        <v>71.63</v>
      </c>
      <c r="K117" s="130" t="n">
        <v>70.34999999999999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禾伸堂(3026)</t>
        </is>
      </c>
      <c r="E118" s="129" t="n">
        <v>16</v>
      </c>
      <c r="F118" s="129" t="n">
        <v>11</v>
      </c>
      <c r="G118" s="129" t="n">
        <v>1154</v>
      </c>
      <c r="H118" s="129" t="n">
        <v>838</v>
      </c>
      <c r="I118" s="129" t="n">
        <v>316</v>
      </c>
      <c r="J118" s="130" t="n">
        <v>721.1900000000001</v>
      </c>
      <c r="K118" s="130" t="n">
        <v>761.36</v>
      </c>
      <c r="L118" s="236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今國光(6209)</t>
        </is>
      </c>
      <c r="E119" s="129" t="n">
        <v>138</v>
      </c>
      <c r="F119" s="129" t="n">
        <v>8</v>
      </c>
      <c r="G119" s="129" t="n">
        <v>1152</v>
      </c>
      <c r="H119" s="129" t="n">
        <v>66</v>
      </c>
      <c r="I119" s="129" t="n">
        <v>1086</v>
      </c>
      <c r="J119" s="130" t="n">
        <v>83.45999999999999</v>
      </c>
      <c r="K119" s="130" t="n">
        <v>83.12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聯電(2303)</t>
        </is>
      </c>
      <c r="E120" s="129" t="n">
        <v>78</v>
      </c>
      <c r="F120" s="129" t="n">
        <v>64</v>
      </c>
      <c r="G120" s="129" t="n">
        <v>1036</v>
      </c>
      <c r="H120" s="129" t="n">
        <v>854</v>
      </c>
      <c r="I120" s="129" t="n">
        <v>182</v>
      </c>
      <c r="J120" s="130" t="n">
        <v>132.86</v>
      </c>
      <c r="K120" s="130" t="n">
        <v>133.39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台虹(8039)</t>
        </is>
      </c>
      <c r="E121" s="129" t="n">
        <v>30</v>
      </c>
      <c r="F121" s="129" t="n">
        <v>18</v>
      </c>
      <c r="G121" s="129" t="n">
        <v>945</v>
      </c>
      <c r="H121" s="129" t="n">
        <v>588</v>
      </c>
      <c r="I121" s="129" t="n">
        <v>357</v>
      </c>
      <c r="J121" s="130" t="n">
        <v>315.1</v>
      </c>
      <c r="K121" s="130" t="n">
        <v>326.61</v>
      </c>
      <c r="L121" s="236">
        <f>F121*(K121-J121)</f>
        <v/>
      </c>
    </row>
    <row r="122" ht="16.5" customHeight="1">
      <c r="A122" s="132" t="n"/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聯電(2303)</t>
        </is>
      </c>
      <c r="E123" s="129" t="n">
        <v>1277</v>
      </c>
      <c r="F123" s="129" t="n">
        <v>1186</v>
      </c>
      <c r="G123" s="129" t="n">
        <v>16980</v>
      </c>
      <c r="H123" s="129" t="n">
        <v>15788</v>
      </c>
      <c r="I123" s="129" t="n">
        <v>1192</v>
      </c>
      <c r="J123" s="130" t="n">
        <v>132.97</v>
      </c>
      <c r="K123" s="130" t="n">
        <v>133.12</v>
      </c>
      <c r="L123" s="236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欣興(3037)</t>
        </is>
      </c>
      <c r="E124" s="129" t="n">
        <v>76</v>
      </c>
      <c r="F124" s="129" t="n">
        <v>65</v>
      </c>
      <c r="G124" s="129" t="n">
        <v>7373</v>
      </c>
      <c r="H124" s="129" t="n">
        <v>6305</v>
      </c>
      <c r="I124" s="129" t="n">
        <v>1068</v>
      </c>
      <c r="J124" s="130" t="n">
        <v>970.16</v>
      </c>
      <c r="K124" s="130" t="n">
        <v>970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南亞科(2408)</t>
        </is>
      </c>
      <c r="E125" s="129" t="n">
        <v>136</v>
      </c>
      <c r="F125" s="129" t="n">
        <v>82</v>
      </c>
      <c r="G125" s="129" t="n">
        <v>7117</v>
      </c>
      <c r="H125" s="129" t="n">
        <v>4376</v>
      </c>
      <c r="I125" s="129" t="n">
        <v>2741</v>
      </c>
      <c r="J125" s="130" t="n">
        <v>523.33</v>
      </c>
      <c r="K125" s="130" t="n">
        <v>533.61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南亞(1303)</t>
        </is>
      </c>
      <c r="E126" s="129" t="n">
        <v>263</v>
      </c>
      <c r="F126" s="129" t="n">
        <v>53</v>
      </c>
      <c r="G126" s="129" t="n">
        <v>6201</v>
      </c>
      <c r="H126" s="129" t="n">
        <v>1260</v>
      </c>
      <c r="I126" s="129" t="n">
        <v>4941</v>
      </c>
      <c r="J126" s="130" t="n">
        <v>235.76</v>
      </c>
      <c r="K126" s="130" t="n">
        <v>237.83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富喬(1815)</t>
        </is>
      </c>
      <c r="E127" s="129" t="n">
        <v>283</v>
      </c>
      <c r="F127" s="129" t="n">
        <v>85</v>
      </c>
      <c r="G127" s="129" t="n">
        <v>3626</v>
      </c>
      <c r="H127" s="129" t="n">
        <v>1090</v>
      </c>
      <c r="I127" s="129" t="n">
        <v>2536</v>
      </c>
      <c r="J127" s="130" t="n">
        <v>128.11</v>
      </c>
      <c r="K127" s="130" t="n">
        <v>128.25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晶豪科(3006)</t>
        </is>
      </c>
      <c r="E128" s="129" t="n">
        <v>123</v>
      </c>
      <c r="F128" s="129" t="n">
        <v>20</v>
      </c>
      <c r="G128" s="129" t="n">
        <v>3452</v>
      </c>
      <c r="H128" s="129" t="n">
        <v>580</v>
      </c>
      <c r="I128" s="129" t="n">
        <v>2872</v>
      </c>
      <c r="J128" s="130" t="n">
        <v>280.61</v>
      </c>
      <c r="K128" s="130" t="n">
        <v>289.9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力積電(6770)</t>
        </is>
      </c>
      <c r="E129" s="129" t="n">
        <v>440</v>
      </c>
      <c r="F129" s="129" t="n">
        <v>79</v>
      </c>
      <c r="G129" s="129" t="n">
        <v>3121</v>
      </c>
      <c r="H129" s="129" t="n">
        <v>573</v>
      </c>
      <c r="I129" s="129" t="n">
        <v>2548</v>
      </c>
      <c r="J129" s="130" t="n">
        <v>70.93000000000001</v>
      </c>
      <c r="K129" s="130" t="n">
        <v>72.53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聯亞(3081)</t>
        </is>
      </c>
      <c r="E130" s="129" t="n">
        <v>8</v>
      </c>
      <c r="F130" s="129" t="n">
        <v>6</v>
      </c>
      <c r="G130" s="129" t="n">
        <v>2805</v>
      </c>
      <c r="H130" s="129" t="n">
        <v>2103</v>
      </c>
      <c r="I130" s="129" t="n">
        <v>702</v>
      </c>
      <c r="J130" s="130" t="n">
        <v>3506</v>
      </c>
      <c r="K130" s="130" t="n">
        <v>3505.33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華邦電(2344)</t>
        </is>
      </c>
      <c r="E131" s="129" t="n">
        <v>138</v>
      </c>
      <c r="F131" s="129" t="n">
        <v>72</v>
      </c>
      <c r="G131" s="129" t="n">
        <v>2447</v>
      </c>
      <c r="H131" s="129" t="n">
        <v>1278</v>
      </c>
      <c r="I131" s="129" t="n">
        <v>1169</v>
      </c>
      <c r="J131" s="130" t="n">
        <v>177.34</v>
      </c>
      <c r="K131" s="130" t="n">
        <v>177.44</v>
      </c>
      <c r="L131" s="236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鴻勁(7769)</t>
        </is>
      </c>
      <c r="E132" s="129" t="n">
        <v>4</v>
      </c>
      <c r="F132" s="129" t="n">
        <v>3</v>
      </c>
      <c r="G132" s="129" t="n">
        <v>2336</v>
      </c>
      <c r="H132" s="129" t="n">
        <v>1768</v>
      </c>
      <c r="I132" s="129" t="n">
        <v>568</v>
      </c>
      <c r="J132" s="130" t="n">
        <v>5841.25</v>
      </c>
      <c r="K132" s="130" t="n">
        <v>5893.33</v>
      </c>
      <c r="L132" s="236">
        <f>F132*(K132-J132)</f>
        <v/>
      </c>
    </row>
    <row r="133" ht="16.5" customHeight="1">
      <c r="A133" s="132" t="n"/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穩懋(3105)</t>
        </is>
      </c>
      <c r="E134" s="129" t="n">
        <v>3066</v>
      </c>
      <c r="F134" s="129" t="n">
        <v>647</v>
      </c>
      <c r="G134" s="129" t="n">
        <v>147756</v>
      </c>
      <c r="H134" s="129" t="n">
        <v>30679</v>
      </c>
      <c r="I134" s="129" t="n">
        <v>117077</v>
      </c>
      <c r="J134" s="130" t="n">
        <v>481.92</v>
      </c>
      <c r="K134" s="130" t="n">
        <v>474.18</v>
      </c>
      <c r="L134" s="235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大立光(3008)</t>
        </is>
      </c>
      <c r="E135" s="129" t="n">
        <v>83</v>
      </c>
      <c r="F135" s="129" t="n">
        <v>28</v>
      </c>
      <c r="G135" s="129" t="n">
        <v>62592</v>
      </c>
      <c r="H135" s="129" t="n">
        <v>21272</v>
      </c>
      <c r="I135" s="129" t="n">
        <v>41320</v>
      </c>
      <c r="J135" s="130" t="n">
        <v>7541.24</v>
      </c>
      <c r="K135" s="130" t="n">
        <v>7597.11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南電(8046)</t>
        </is>
      </c>
      <c r="E136" s="129" t="n">
        <v>493</v>
      </c>
      <c r="F136" s="129" t="n">
        <v>117</v>
      </c>
      <c r="G136" s="129" t="n">
        <v>60447</v>
      </c>
      <c r="H136" s="129" t="n">
        <v>14386</v>
      </c>
      <c r="I136" s="129" t="n">
        <v>46061</v>
      </c>
      <c r="J136" s="130" t="n">
        <v>1226.11</v>
      </c>
      <c r="K136" s="130" t="n">
        <v>1229.61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金像電(2368)</t>
        </is>
      </c>
      <c r="E137" s="129" t="n">
        <v>362</v>
      </c>
      <c r="F137" s="129" t="n">
        <v>95</v>
      </c>
      <c r="G137" s="129" t="n">
        <v>44363</v>
      </c>
      <c r="H137" s="129" t="n">
        <v>11578</v>
      </c>
      <c r="I137" s="129" t="n">
        <v>32785</v>
      </c>
      <c r="J137" s="130" t="n">
        <v>1225.49</v>
      </c>
      <c r="K137" s="130" t="n">
        <v>1218.78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台達電(2308)</t>
        </is>
      </c>
      <c r="E138" s="129" t="n">
        <v>233</v>
      </c>
      <c r="F138" s="129" t="n">
        <v>37</v>
      </c>
      <c r="G138" s="129" t="n">
        <v>43451</v>
      </c>
      <c r="H138" s="129" t="n">
        <v>6876</v>
      </c>
      <c r="I138" s="129" t="n">
        <v>36575</v>
      </c>
      <c r="J138" s="130" t="n">
        <v>1864.86</v>
      </c>
      <c r="K138" s="130" t="n">
        <v>1858.24</v>
      </c>
      <c r="L138" s="235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緯穎(6669)</t>
        </is>
      </c>
      <c r="E139" s="129" t="n">
        <v>46</v>
      </c>
      <c r="F139" s="129" t="n">
        <v>33</v>
      </c>
      <c r="G139" s="129" t="n">
        <v>36181</v>
      </c>
      <c r="H139" s="129" t="n">
        <v>25464</v>
      </c>
      <c r="I139" s="129" t="n">
        <v>10717</v>
      </c>
      <c r="J139" s="130" t="n">
        <v>7865.39</v>
      </c>
      <c r="K139" s="130" t="n">
        <v>7716.42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臻鼎-KY(4958)</t>
        </is>
      </c>
      <c r="E140" s="129" t="n">
        <v>530</v>
      </c>
      <c r="F140" s="129" t="n">
        <v>318</v>
      </c>
      <c r="G140" s="129" t="n">
        <v>28359</v>
      </c>
      <c r="H140" s="129" t="n">
        <v>16995</v>
      </c>
      <c r="I140" s="129" t="n">
        <v>11364</v>
      </c>
      <c r="J140" s="130" t="n">
        <v>535.0700000000001</v>
      </c>
      <c r="K140" s="130" t="n">
        <v>534.4400000000001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華通(2313)</t>
        </is>
      </c>
      <c r="E141" s="129" t="n">
        <v>1099</v>
      </c>
      <c r="F141" s="129" t="n">
        <v>571</v>
      </c>
      <c r="G141" s="129" t="n">
        <v>27686</v>
      </c>
      <c r="H141" s="129" t="n">
        <v>14379</v>
      </c>
      <c r="I141" s="129" t="n">
        <v>13307</v>
      </c>
      <c r="J141" s="130" t="n">
        <v>251.92</v>
      </c>
      <c r="K141" s="130" t="n">
        <v>251.82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昇達科(3491)</t>
        </is>
      </c>
      <c r="E142" s="129" t="n">
        <v>185</v>
      </c>
      <c r="F142" s="129" t="n">
        <v>26</v>
      </c>
      <c r="G142" s="129" t="n">
        <v>27333</v>
      </c>
      <c r="H142" s="129" t="n">
        <v>3792</v>
      </c>
      <c r="I142" s="129" t="n">
        <v>23541</v>
      </c>
      <c r="J142" s="130" t="n">
        <v>1477.48</v>
      </c>
      <c r="K142" s="130" t="n">
        <v>1458.54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信驊(5274)</t>
        </is>
      </c>
      <c r="E143" s="129" t="n">
        <v>16</v>
      </c>
      <c r="F143" s="129" t="n">
        <v>1</v>
      </c>
      <c r="G143" s="129" t="n">
        <v>26662</v>
      </c>
      <c r="H143" s="129" t="n">
        <v>436</v>
      </c>
      <c r="I143" s="129" t="n">
        <v>26226</v>
      </c>
      <c r="J143" s="130" t="n">
        <v>16663.94</v>
      </c>
      <c r="K143" s="130" t="n">
        <v>4360</v>
      </c>
      <c r="L143" s="235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欣興(3037)</t>
        </is>
      </c>
      <c r="E145" s="136" t="n">
        <v>978</v>
      </c>
      <c r="F145" s="136" t="n">
        <v>851</v>
      </c>
      <c r="G145" s="136" t="n">
        <v>94994</v>
      </c>
      <c r="H145" s="136" t="n">
        <v>82672</v>
      </c>
      <c r="I145" s="136" t="n">
        <v>12322</v>
      </c>
      <c r="J145" s="137" t="n">
        <v>971.3099999999999</v>
      </c>
      <c r="K145" s="137" t="n">
        <v>971.47</v>
      </c>
      <c r="L145" s="236">
        <f>F145*(K145-J145)</f>
        <v/>
      </c>
    </row>
    <row r="146" ht="16.5" customHeight="1">
      <c r="A146" s="138" t="n"/>
      <c r="B146" s="138" t="n"/>
      <c r="C146" s="138" t="n"/>
      <c r="D146" s="135" t="inlineStr">
        <is>
          <t>精材(3374)</t>
        </is>
      </c>
      <c r="E146" s="136" t="n">
        <v>2150</v>
      </c>
      <c r="F146" s="136" t="n">
        <v>230</v>
      </c>
      <c r="G146" s="136" t="n">
        <v>91088</v>
      </c>
      <c r="H146" s="136" t="n">
        <v>9582</v>
      </c>
      <c r="I146" s="136" t="n">
        <v>81506</v>
      </c>
      <c r="J146" s="137" t="n">
        <v>423.66</v>
      </c>
      <c r="K146" s="137" t="n">
        <v>416.61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緯穎(6669)</t>
        </is>
      </c>
      <c r="E147" s="136" t="n">
        <v>86</v>
      </c>
      <c r="F147" s="136" t="n">
        <v>3</v>
      </c>
      <c r="G147" s="136" t="n">
        <v>67278</v>
      </c>
      <c r="H147" s="136" t="n">
        <v>2286</v>
      </c>
      <c r="I147" s="136" t="n">
        <v>64992</v>
      </c>
      <c r="J147" s="137" t="n">
        <v>7823.02</v>
      </c>
      <c r="K147" s="137" t="n">
        <v>7620.33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金像電(2368)</t>
        </is>
      </c>
      <c r="E148" s="136" t="n">
        <v>487</v>
      </c>
      <c r="F148" s="136" t="n">
        <v>205</v>
      </c>
      <c r="G148" s="136" t="n">
        <v>59180</v>
      </c>
      <c r="H148" s="136" t="n">
        <v>24939</v>
      </c>
      <c r="I148" s="136" t="n">
        <v>34241</v>
      </c>
      <c r="J148" s="137" t="n">
        <v>1215.19</v>
      </c>
      <c r="K148" s="137" t="n">
        <v>1216.55</v>
      </c>
      <c r="L148" s="236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聯電(2303)</t>
        </is>
      </c>
      <c r="E149" s="136" t="n">
        <v>3767</v>
      </c>
      <c r="F149" s="136" t="n">
        <v>1052</v>
      </c>
      <c r="G149" s="136" t="n">
        <v>50258</v>
      </c>
      <c r="H149" s="136" t="n">
        <v>13922</v>
      </c>
      <c r="I149" s="136" t="n">
        <v>36336</v>
      </c>
      <c r="J149" s="137" t="n">
        <v>133.42</v>
      </c>
      <c r="K149" s="137" t="n">
        <v>132.34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臻鼎-KY(4958)</t>
        </is>
      </c>
      <c r="E150" s="136" t="n">
        <v>835</v>
      </c>
      <c r="F150" s="136" t="n">
        <v>83</v>
      </c>
      <c r="G150" s="136" t="n">
        <v>44913</v>
      </c>
      <c r="H150" s="136" t="n">
        <v>4402</v>
      </c>
      <c r="I150" s="136" t="n">
        <v>40511</v>
      </c>
      <c r="J150" s="137" t="n">
        <v>537.89</v>
      </c>
      <c r="K150" s="137" t="n">
        <v>530.42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智邦(2345)</t>
        </is>
      </c>
      <c r="E151" s="136" t="n">
        <v>196</v>
      </c>
      <c r="F151" s="136" t="n">
        <v>20</v>
      </c>
      <c r="G151" s="136" t="n">
        <v>43199</v>
      </c>
      <c r="H151" s="136" t="n">
        <v>4438</v>
      </c>
      <c r="I151" s="136" t="n">
        <v>38761</v>
      </c>
      <c r="J151" s="137" t="n">
        <v>2204.05</v>
      </c>
      <c r="K151" s="137" t="n">
        <v>2219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貿聯-KY(3665)</t>
        </is>
      </c>
      <c r="E152" s="136" t="n">
        <v>152</v>
      </c>
      <c r="F152" s="136" t="n">
        <v>12</v>
      </c>
      <c r="G152" s="136" t="n">
        <v>35232</v>
      </c>
      <c r="H152" s="136" t="n">
        <v>2689</v>
      </c>
      <c r="I152" s="136" t="n">
        <v>32543</v>
      </c>
      <c r="J152" s="137" t="n">
        <v>2317.88</v>
      </c>
      <c r="K152" s="137" t="n">
        <v>2240.58</v>
      </c>
      <c r="L152" s="235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日月光投控(3711)</t>
        </is>
      </c>
      <c r="E153" s="136" t="n">
        <v>555</v>
      </c>
      <c r="F153" s="136" t="n">
        <v>35</v>
      </c>
      <c r="G153" s="136" t="n">
        <v>33799</v>
      </c>
      <c r="H153" s="136" t="n">
        <v>2145</v>
      </c>
      <c r="I153" s="136" t="n">
        <v>31654</v>
      </c>
      <c r="J153" s="137" t="n">
        <v>608.99</v>
      </c>
      <c r="K153" s="137" t="n">
        <v>612.97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雙鴻(3324)</t>
        </is>
      </c>
      <c r="E154" s="136" t="n">
        <v>193</v>
      </c>
      <c r="F154" s="136" t="n">
        <v>15</v>
      </c>
      <c r="G154" s="136" t="n">
        <v>26473</v>
      </c>
      <c r="H154" s="136" t="n">
        <v>2033</v>
      </c>
      <c r="I154" s="136" t="n">
        <v>24440</v>
      </c>
      <c r="J154" s="137" t="n">
        <v>1371.65</v>
      </c>
      <c r="K154" s="137" t="n">
        <v>1355.07</v>
      </c>
      <c r="L154" s="235">
        <f>F154*(K154-J154)</f>
        <v/>
      </c>
    </row>
    <row r="155" ht="16.5" customHeight="1">
      <c r="A155" s="139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8" t="n"/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臻鼎-KY(4958)</t>
        </is>
      </c>
      <c r="E156" s="136" t="n">
        <v>916</v>
      </c>
      <c r="F156" s="136" t="n">
        <v>123</v>
      </c>
      <c r="G156" s="136" t="n">
        <v>49155</v>
      </c>
      <c r="H156" s="136" t="n">
        <v>6597</v>
      </c>
      <c r="I156" s="136" t="n">
        <v>42558</v>
      </c>
      <c r="J156" s="137" t="n">
        <v>536.63</v>
      </c>
      <c r="K156" s="137" t="n">
        <v>536.37</v>
      </c>
      <c r="L156" s="235">
        <f>F156*(K156-J156)</f>
        <v/>
      </c>
    </row>
    <row r="157" ht="16.5" customHeight="1">
      <c r="A157" s="138" t="n"/>
      <c r="B157" s="138" t="n"/>
      <c r="C157" s="138" t="n"/>
      <c r="D157" s="135" t="inlineStr">
        <is>
          <t>技嘉(2376)</t>
        </is>
      </c>
      <c r="E157" s="136" t="n">
        <v>1056</v>
      </c>
      <c r="F157" s="136" t="n">
        <v>14</v>
      </c>
      <c r="G157" s="136" t="n">
        <v>37821</v>
      </c>
      <c r="H157" s="136" t="n">
        <v>517</v>
      </c>
      <c r="I157" s="136" t="n">
        <v>37304</v>
      </c>
      <c r="J157" s="137" t="n">
        <v>358.15</v>
      </c>
      <c r="K157" s="137" t="n">
        <v>369.43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廣達(2382)</t>
        </is>
      </c>
      <c r="E158" s="136" t="n">
        <v>939</v>
      </c>
      <c r="F158" s="136" t="n">
        <v>23</v>
      </c>
      <c r="G158" s="136" t="n">
        <v>31920</v>
      </c>
      <c r="H158" s="136" t="n">
        <v>778</v>
      </c>
      <c r="I158" s="136" t="n">
        <v>31142</v>
      </c>
      <c r="J158" s="137" t="n">
        <v>339.94</v>
      </c>
      <c r="K158" s="137" t="n">
        <v>338.22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金像電(2368)</t>
        </is>
      </c>
      <c r="E159" s="136" t="n">
        <v>216</v>
      </c>
      <c r="F159" s="136" t="n">
        <v>23</v>
      </c>
      <c r="G159" s="136" t="n">
        <v>26275</v>
      </c>
      <c r="H159" s="136" t="n">
        <v>2757</v>
      </c>
      <c r="I159" s="136" t="n">
        <v>23518</v>
      </c>
      <c r="J159" s="137" t="n">
        <v>1216.43</v>
      </c>
      <c r="K159" s="137" t="n">
        <v>1198.83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台虹(8039)</t>
        </is>
      </c>
      <c r="E160" s="136" t="n">
        <v>557</v>
      </c>
      <c r="F160" s="136" t="n">
        <v>124</v>
      </c>
      <c r="G160" s="136" t="n">
        <v>18127</v>
      </c>
      <c r="H160" s="136" t="n">
        <v>3983</v>
      </c>
      <c r="I160" s="136" t="n">
        <v>14144</v>
      </c>
      <c r="J160" s="137" t="n">
        <v>325.44</v>
      </c>
      <c r="K160" s="137" t="n">
        <v>321.19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禾伸堂(3026)</t>
        </is>
      </c>
      <c r="E161" s="136" t="n">
        <v>223</v>
      </c>
      <c r="F161" s="136" t="n">
        <v>11</v>
      </c>
      <c r="G161" s="136" t="n">
        <v>16884</v>
      </c>
      <c r="H161" s="136" t="n">
        <v>880</v>
      </c>
      <c r="I161" s="136" t="n">
        <v>16004</v>
      </c>
      <c r="J161" s="137" t="n">
        <v>757.11</v>
      </c>
      <c r="K161" s="137" t="n">
        <v>799.55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華通(2313)</t>
        </is>
      </c>
      <c r="E162" s="136" t="n">
        <v>577</v>
      </c>
      <c r="F162" s="136" t="n">
        <v>76</v>
      </c>
      <c r="G162" s="136" t="n">
        <v>14643</v>
      </c>
      <c r="H162" s="136" t="n">
        <v>1927</v>
      </c>
      <c r="I162" s="136" t="n">
        <v>12716</v>
      </c>
      <c r="J162" s="137" t="n">
        <v>253.79</v>
      </c>
      <c r="K162" s="137" t="n">
        <v>253.55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南亞(1303)</t>
        </is>
      </c>
      <c r="E163" s="136" t="n">
        <v>547</v>
      </c>
      <c r="F163" s="136" t="n">
        <v>411</v>
      </c>
      <c r="G163" s="136" t="n">
        <v>12987</v>
      </c>
      <c r="H163" s="136" t="n">
        <v>9697</v>
      </c>
      <c r="I163" s="136" t="n">
        <v>3290</v>
      </c>
      <c r="J163" s="137" t="n">
        <v>237.42</v>
      </c>
      <c r="K163" s="137" t="n">
        <v>235.93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第一金(2892)</t>
        </is>
      </c>
      <c r="E164" s="136" t="n">
        <v>3512</v>
      </c>
      <c r="F164" s="136" t="n">
        <v>24</v>
      </c>
      <c r="G164" s="136" t="n">
        <v>12562</v>
      </c>
      <c r="H164" s="136" t="n">
        <v>86</v>
      </c>
      <c r="I164" s="136" t="n">
        <v>12476</v>
      </c>
      <c r="J164" s="137" t="n">
        <v>35.77</v>
      </c>
      <c r="K164" s="137" t="n">
        <v>35.67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南亞科(2408)</t>
        </is>
      </c>
      <c r="E165" s="136" t="n">
        <v>231</v>
      </c>
      <c r="F165" s="136" t="n">
        <v>122</v>
      </c>
      <c r="G165" s="136" t="n">
        <v>11986</v>
      </c>
      <c r="H165" s="136" t="n">
        <v>6333</v>
      </c>
      <c r="I165" s="136" t="n">
        <v>5653</v>
      </c>
      <c r="J165" s="137" t="n">
        <v>518.86</v>
      </c>
      <c r="K165" s="137" t="n">
        <v>519.08</v>
      </c>
      <c r="L165" s="236">
        <f>F165*(K165-J165)</f>
        <v/>
      </c>
    </row>
    <row r="166" ht="16.5" customHeight="1">
      <c r="A166" s="139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8" t="n"/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臻鼎-KY(4958)</t>
        </is>
      </c>
      <c r="E167" s="136" t="n">
        <v>2468</v>
      </c>
      <c r="F167" s="136" t="n">
        <v>1925</v>
      </c>
      <c r="G167" s="136" t="n">
        <v>134962</v>
      </c>
      <c r="H167" s="136" t="n">
        <v>103383</v>
      </c>
      <c r="I167" s="136" t="n">
        <v>31579</v>
      </c>
      <c r="J167" s="137" t="n">
        <v>546.85</v>
      </c>
      <c r="K167" s="137" t="n">
        <v>537.0599999999999</v>
      </c>
      <c r="L167" s="235">
        <f>F167*(K167-J167)</f>
        <v/>
      </c>
    </row>
    <row r="168" ht="16.5" customHeight="1">
      <c r="A168" s="138" t="n"/>
      <c r="B168" s="138" t="n"/>
      <c r="C168" s="138" t="n"/>
      <c r="D168" s="135" t="inlineStr">
        <is>
          <t>合晶(6182)</t>
        </is>
      </c>
      <c r="E168" s="136" t="n">
        <v>2407</v>
      </c>
      <c r="F168" s="136" t="n">
        <v>432</v>
      </c>
      <c r="G168" s="136" t="n">
        <v>27842</v>
      </c>
      <c r="H168" s="136" t="n">
        <v>4883</v>
      </c>
      <c r="I168" s="136" t="n">
        <v>22959</v>
      </c>
      <c r="J168" s="137" t="n">
        <v>115.67</v>
      </c>
      <c r="K168" s="137" t="n">
        <v>113.04</v>
      </c>
      <c r="L168" s="235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欣興(3037)</t>
        </is>
      </c>
      <c r="E169" s="136" t="n">
        <v>224</v>
      </c>
      <c r="F169" s="136" t="n">
        <v>165</v>
      </c>
      <c r="G169" s="136" t="n">
        <v>20971</v>
      </c>
      <c r="H169" s="136" t="n">
        <v>15731</v>
      </c>
      <c r="I169" s="136" t="n">
        <v>5240</v>
      </c>
      <c r="J169" s="137" t="n">
        <v>936.2</v>
      </c>
      <c r="K169" s="137" t="n">
        <v>953.41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聯發科(2454)</t>
        </is>
      </c>
      <c r="E170" s="136" t="n">
        <v>48</v>
      </c>
      <c r="F170" s="136" t="n">
        <v>5</v>
      </c>
      <c r="G170" s="136" t="n">
        <v>20755</v>
      </c>
      <c r="H170" s="136" t="n">
        <v>2264</v>
      </c>
      <c r="I170" s="136" t="n">
        <v>18491</v>
      </c>
      <c r="J170" s="137" t="n">
        <v>4324</v>
      </c>
      <c r="K170" s="137" t="n">
        <v>4528.2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松川精密(7788)</t>
        </is>
      </c>
      <c r="E171" s="136" t="n">
        <v>260</v>
      </c>
      <c r="F171" s="136" t="n">
        <v>0</v>
      </c>
      <c r="G171" s="136" t="n">
        <v>8219</v>
      </c>
      <c r="H171" s="136" t="n">
        <v>0</v>
      </c>
      <c r="I171" s="136" t="n">
        <v>8219</v>
      </c>
      <c r="J171" s="137" t="n">
        <v>316.11</v>
      </c>
      <c r="K171" s="137" t="n">
        <v>0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上詮(3363)</t>
        </is>
      </c>
      <c r="E172" s="136" t="n">
        <v>98</v>
      </c>
      <c r="F172" s="136" t="n">
        <v>3</v>
      </c>
      <c r="G172" s="136" t="n">
        <v>7616</v>
      </c>
      <c r="H172" s="136" t="n">
        <v>242</v>
      </c>
      <c r="I172" s="136" t="n">
        <v>7374</v>
      </c>
      <c r="J172" s="137" t="n">
        <v>777.1799999999999</v>
      </c>
      <c r="K172" s="137" t="n">
        <v>807.33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禾伸堂(3026)</t>
        </is>
      </c>
      <c r="E173" s="136" t="n">
        <v>80</v>
      </c>
      <c r="F173" s="136" t="n">
        <v>1</v>
      </c>
      <c r="G173" s="136" t="n">
        <v>6116</v>
      </c>
      <c r="H173" s="136" t="n">
        <v>2</v>
      </c>
      <c r="I173" s="136" t="n">
        <v>6114</v>
      </c>
      <c r="J173" s="137" t="n">
        <v>764.46</v>
      </c>
      <c r="K173" s="137" t="n">
        <v>15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南亞科(2408)</t>
        </is>
      </c>
      <c r="E174" s="136" t="n">
        <v>100</v>
      </c>
      <c r="F174" s="136" t="n">
        <v>5</v>
      </c>
      <c r="G174" s="136" t="n">
        <v>5213</v>
      </c>
      <c r="H174" s="136" t="n">
        <v>263</v>
      </c>
      <c r="I174" s="136" t="n">
        <v>4950</v>
      </c>
      <c r="J174" s="137" t="n">
        <v>521.29</v>
      </c>
      <c r="K174" s="137" t="n">
        <v>525.8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緯穎(6669)</t>
        </is>
      </c>
      <c r="E175" s="136" t="n">
        <v>6</v>
      </c>
      <c r="F175" s="136" t="n">
        <v>4</v>
      </c>
      <c r="G175" s="136" t="n">
        <v>4494</v>
      </c>
      <c r="H175" s="136" t="n">
        <v>3063</v>
      </c>
      <c r="I175" s="136" t="n">
        <v>1431</v>
      </c>
      <c r="J175" s="137" t="n">
        <v>7489.67</v>
      </c>
      <c r="K175" s="137" t="n">
        <v>7657.5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台燿(6274)</t>
        </is>
      </c>
      <c r="E176" s="136" t="n">
        <v>31</v>
      </c>
      <c r="F176" s="136" t="n">
        <v>3</v>
      </c>
      <c r="G176" s="136" t="n">
        <v>4474</v>
      </c>
      <c r="H176" s="136" t="n">
        <v>436</v>
      </c>
      <c r="I176" s="136" t="n">
        <v>4038</v>
      </c>
      <c r="J176" s="137" t="n">
        <v>1443.26</v>
      </c>
      <c r="K176" s="137" t="n">
        <v>1455</v>
      </c>
      <c r="L176" s="236">
        <f>F176*(K176-J176)</f>
        <v/>
      </c>
    </row>
    <row r="177" ht="16.5" customHeight="1">
      <c r="A177" s="139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8" t="n"/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國巨*(2327)</t>
        </is>
      </c>
      <c r="E178" s="136" t="n">
        <v>835</v>
      </c>
      <c r="F178" s="136" t="n">
        <v>54</v>
      </c>
      <c r="G178" s="136" t="n">
        <v>47429</v>
      </c>
      <c r="H178" s="136" t="n">
        <v>3053</v>
      </c>
      <c r="I178" s="136" t="n">
        <v>44376</v>
      </c>
      <c r="J178" s="137" t="n">
        <v>568.02</v>
      </c>
      <c r="K178" s="137" t="n">
        <v>565.3099999999999</v>
      </c>
      <c r="L178" s="235">
        <f>F178*(K178-J178)</f>
        <v/>
      </c>
    </row>
    <row r="179" ht="16.5" customHeight="1">
      <c r="A179" s="138" t="n"/>
      <c r="B179" s="138" t="n"/>
      <c r="C179" s="138" t="n"/>
      <c r="D179" s="135" t="inlineStr">
        <is>
          <t>雙鴻(3324)</t>
        </is>
      </c>
      <c r="E179" s="136" t="n">
        <v>339</v>
      </c>
      <c r="F179" s="136" t="n">
        <v>34</v>
      </c>
      <c r="G179" s="136" t="n">
        <v>46208</v>
      </c>
      <c r="H179" s="136" t="n">
        <v>4558</v>
      </c>
      <c r="I179" s="136" t="n">
        <v>41650</v>
      </c>
      <c r="J179" s="137" t="n">
        <v>1363.06</v>
      </c>
      <c r="K179" s="137" t="n">
        <v>1340.53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南亞科(2408)</t>
        </is>
      </c>
      <c r="E180" s="136" t="n">
        <v>193</v>
      </c>
      <c r="F180" s="136" t="n">
        <v>80</v>
      </c>
      <c r="G180" s="136" t="n">
        <v>10145</v>
      </c>
      <c r="H180" s="136" t="n">
        <v>4145</v>
      </c>
      <c r="I180" s="136" t="n">
        <v>6000</v>
      </c>
      <c r="J180" s="137" t="n">
        <v>525.64</v>
      </c>
      <c r="K180" s="137" t="n">
        <v>518.17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士電(1503)</t>
        </is>
      </c>
      <c r="E181" s="136" t="n">
        <v>270</v>
      </c>
      <c r="F181" s="136" t="n">
        <v>15</v>
      </c>
      <c r="G181" s="136" t="n">
        <v>5697</v>
      </c>
      <c r="H181" s="136" t="n">
        <v>326</v>
      </c>
      <c r="I181" s="136" t="n">
        <v>5371</v>
      </c>
      <c r="J181" s="137" t="n">
        <v>211</v>
      </c>
      <c r="K181" s="137" t="n">
        <v>217.07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金居(8358)</t>
        </is>
      </c>
      <c r="E182" s="136" t="n">
        <v>93</v>
      </c>
      <c r="F182" s="136" t="n">
        <v>64</v>
      </c>
      <c r="G182" s="136" t="n">
        <v>4899</v>
      </c>
      <c r="H182" s="136" t="n">
        <v>3352</v>
      </c>
      <c r="I182" s="136" t="n">
        <v>1547</v>
      </c>
      <c r="J182" s="137" t="n">
        <v>526.8200000000001</v>
      </c>
      <c r="K182" s="137" t="n">
        <v>523.73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華邦電(2344)</t>
        </is>
      </c>
      <c r="E183" s="136" t="n">
        <v>263</v>
      </c>
      <c r="F183" s="136" t="n">
        <v>71</v>
      </c>
      <c r="G183" s="136" t="n">
        <v>4658</v>
      </c>
      <c r="H183" s="136" t="n">
        <v>1262</v>
      </c>
      <c r="I183" s="136" t="n">
        <v>3396</v>
      </c>
      <c r="J183" s="137" t="n">
        <v>177.11</v>
      </c>
      <c r="K183" s="137" t="n">
        <v>177.72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南亞(1303)</t>
        </is>
      </c>
      <c r="E184" s="136" t="n">
        <v>155</v>
      </c>
      <c r="F184" s="136" t="n">
        <v>69</v>
      </c>
      <c r="G184" s="136" t="n">
        <v>3679</v>
      </c>
      <c r="H184" s="136" t="n">
        <v>1632</v>
      </c>
      <c r="I184" s="136" t="n">
        <v>2047</v>
      </c>
      <c r="J184" s="137" t="n">
        <v>237.38</v>
      </c>
      <c r="K184" s="137" t="n">
        <v>236.49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台達電(2308)</t>
        </is>
      </c>
      <c r="E185" s="136" t="n">
        <v>17</v>
      </c>
      <c r="F185" s="136" t="n">
        <v>12</v>
      </c>
      <c r="G185" s="136" t="n">
        <v>3239</v>
      </c>
      <c r="H185" s="136" t="n">
        <v>2223</v>
      </c>
      <c r="I185" s="136" t="n">
        <v>1016</v>
      </c>
      <c r="J185" s="137" t="n">
        <v>1905.35</v>
      </c>
      <c r="K185" s="137" t="n">
        <v>1852.83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鴻勁(7769)</t>
        </is>
      </c>
      <c r="E186" s="136" t="n">
        <v>5</v>
      </c>
      <c r="F186" s="136" t="n">
        <v>2</v>
      </c>
      <c r="G186" s="136" t="n">
        <v>3200</v>
      </c>
      <c r="H186" s="136" t="n">
        <v>1191</v>
      </c>
      <c r="I186" s="136" t="n">
        <v>2009</v>
      </c>
      <c r="J186" s="137" t="n">
        <v>6399.8</v>
      </c>
      <c r="K186" s="137" t="n">
        <v>5953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聯電(2303)</t>
        </is>
      </c>
      <c r="E187" s="136" t="n">
        <v>231</v>
      </c>
      <c r="F187" s="136" t="n">
        <v>170</v>
      </c>
      <c r="G187" s="136" t="n">
        <v>3073</v>
      </c>
      <c r="H187" s="136" t="n">
        <v>2255</v>
      </c>
      <c r="I187" s="136" t="n">
        <v>818</v>
      </c>
      <c r="J187" s="137" t="n">
        <v>133.05</v>
      </c>
      <c r="K187" s="137" t="n">
        <v>132.67</v>
      </c>
      <c r="L187" s="235">
        <f>F187*(K187-J187)</f>
        <v/>
      </c>
    </row>
    <row r="188" ht="16.5" customHeight="1">
      <c r="A188" s="139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8" t="n"/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欣興(3037)</t>
        </is>
      </c>
      <c r="E189" s="136" t="n">
        <v>296</v>
      </c>
      <c r="F189" s="136" t="n">
        <v>97</v>
      </c>
      <c r="G189" s="136" t="n">
        <v>28712</v>
      </c>
      <c r="H189" s="136" t="n">
        <v>9406</v>
      </c>
      <c r="I189" s="136" t="n">
        <v>19306</v>
      </c>
      <c r="J189" s="137" t="n">
        <v>969.99</v>
      </c>
      <c r="K189" s="137" t="n">
        <v>969.74</v>
      </c>
      <c r="L189" s="235">
        <f>F189*(K189-J189)</f>
        <v/>
      </c>
    </row>
    <row r="190" ht="16.5" customHeight="1">
      <c r="A190" s="138" t="n"/>
      <c r="B190" s="138" t="n"/>
      <c r="C190" s="138" t="n"/>
      <c r="D190" s="135" t="inlineStr">
        <is>
          <t>金像電(2368)</t>
        </is>
      </c>
      <c r="E190" s="136" t="n">
        <v>163</v>
      </c>
      <c r="F190" s="136" t="n">
        <v>3</v>
      </c>
      <c r="G190" s="136" t="n">
        <v>19923</v>
      </c>
      <c r="H190" s="136" t="n">
        <v>376</v>
      </c>
      <c r="I190" s="136" t="n">
        <v>19547</v>
      </c>
      <c r="J190" s="137" t="n">
        <v>1222.26</v>
      </c>
      <c r="K190" s="137" t="n">
        <v>1251.67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雙鴻(3324)</t>
        </is>
      </c>
      <c r="E191" s="136" t="n">
        <v>60</v>
      </c>
      <c r="F191" s="136" t="n">
        <v>13</v>
      </c>
      <c r="G191" s="136" t="n">
        <v>8188</v>
      </c>
      <c r="H191" s="136" t="n">
        <v>1802</v>
      </c>
      <c r="I191" s="136" t="n">
        <v>6386</v>
      </c>
      <c r="J191" s="137" t="n">
        <v>1364.62</v>
      </c>
      <c r="K191" s="137" t="n">
        <v>1386.15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智邦(2345)</t>
        </is>
      </c>
      <c r="E192" s="136" t="n">
        <v>19</v>
      </c>
      <c r="F192" s="136" t="n">
        <v>1</v>
      </c>
      <c r="G192" s="136" t="n">
        <v>4268</v>
      </c>
      <c r="H192" s="136" t="n">
        <v>25</v>
      </c>
      <c r="I192" s="136" t="n">
        <v>4243</v>
      </c>
      <c r="J192" s="137" t="n">
        <v>2246.47</v>
      </c>
      <c r="K192" s="137" t="n">
        <v>252</v>
      </c>
      <c r="L192" s="235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南亞(1303)</t>
        </is>
      </c>
      <c r="E193" s="136" t="n">
        <v>87</v>
      </c>
      <c r="F193" s="136" t="n">
        <v>52</v>
      </c>
      <c r="G193" s="136" t="n">
        <v>3867</v>
      </c>
      <c r="H193" s="136" t="n">
        <v>1838</v>
      </c>
      <c r="I193" s="136" t="n">
        <v>2029</v>
      </c>
      <c r="J193" s="137" t="n">
        <v>444.47</v>
      </c>
      <c r="K193" s="137" t="n">
        <v>353.52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緯穎(6669)</t>
        </is>
      </c>
      <c r="E194" s="136" t="n">
        <v>5</v>
      </c>
      <c r="F194" s="136" t="n">
        <v>4</v>
      </c>
      <c r="G194" s="136" t="n">
        <v>3825</v>
      </c>
      <c r="H194" s="136" t="n">
        <v>3271</v>
      </c>
      <c r="I194" s="136" t="n">
        <v>554</v>
      </c>
      <c r="J194" s="137" t="n">
        <v>7649.2</v>
      </c>
      <c r="K194" s="137" t="n">
        <v>8177.75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南亞科(2408)</t>
        </is>
      </c>
      <c r="E195" s="136" t="n">
        <v>211</v>
      </c>
      <c r="F195" s="136" t="n">
        <v>52</v>
      </c>
      <c r="G195" s="136" t="n">
        <v>2893</v>
      </c>
      <c r="H195" s="136" t="n">
        <v>1231</v>
      </c>
      <c r="I195" s="136" t="n">
        <v>1662</v>
      </c>
      <c r="J195" s="137" t="n">
        <v>137.1</v>
      </c>
      <c r="K195" s="137" t="n">
        <v>236.73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大量(3167)</t>
        </is>
      </c>
      <c r="E196" s="136" t="n">
        <v>33</v>
      </c>
      <c r="F196" s="136" t="n">
        <v>21</v>
      </c>
      <c r="G196" s="136" t="n">
        <v>2657</v>
      </c>
      <c r="H196" s="136" t="n">
        <v>1678</v>
      </c>
      <c r="I196" s="136" t="n">
        <v>979</v>
      </c>
      <c r="J196" s="137" t="n">
        <v>805.09</v>
      </c>
      <c r="K196" s="137" t="n">
        <v>798.86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晶豪科(3006)</t>
        </is>
      </c>
      <c r="E197" s="136" t="n">
        <v>87</v>
      </c>
      <c r="F197" s="136" t="n">
        <v>1</v>
      </c>
      <c r="G197" s="136" t="n">
        <v>2423</v>
      </c>
      <c r="H197" s="136" t="n">
        <v>28</v>
      </c>
      <c r="I197" s="136" t="n">
        <v>2395</v>
      </c>
      <c r="J197" s="137" t="n">
        <v>278.51</v>
      </c>
      <c r="K197" s="137" t="n">
        <v>278</v>
      </c>
      <c r="L197" s="235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金居(8358)</t>
        </is>
      </c>
      <c r="E198" s="136" t="n">
        <v>40</v>
      </c>
      <c r="F198" s="136" t="n">
        <v>9</v>
      </c>
      <c r="G198" s="136" t="n">
        <v>2096</v>
      </c>
      <c r="H198" s="136" t="n">
        <v>490</v>
      </c>
      <c r="I198" s="136" t="n">
        <v>1606</v>
      </c>
      <c r="J198" s="137" t="n">
        <v>523.9</v>
      </c>
      <c r="K198" s="137" t="n">
        <v>544.89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全新(2455)</t>
        </is>
      </c>
      <c r="E200" s="143" t="n">
        <v>392</v>
      </c>
      <c r="F200" s="143" t="n">
        <v>136</v>
      </c>
      <c r="G200" s="143" t="n">
        <v>19962</v>
      </c>
      <c r="H200" s="143" t="n">
        <v>7096</v>
      </c>
      <c r="I200" s="143" t="n">
        <v>12866</v>
      </c>
      <c r="J200" s="144" t="n">
        <v>509.23</v>
      </c>
      <c r="K200" s="144" t="n">
        <v>521.78</v>
      </c>
      <c r="L200" s="236">
        <f>F200*(K200-J200)</f>
        <v/>
      </c>
    </row>
    <row r="201" ht="16.5" customHeight="1">
      <c r="A201" s="145" t="n"/>
      <c r="B201" s="145" t="n"/>
      <c r="C201" s="145" t="n"/>
      <c r="D201" s="142" t="inlineStr">
        <is>
          <t>聯亞(3081)</t>
        </is>
      </c>
      <c r="E201" s="143" t="n">
        <v>53</v>
      </c>
      <c r="F201" s="143" t="n">
        <v>1</v>
      </c>
      <c r="G201" s="143" t="n">
        <v>18388</v>
      </c>
      <c r="H201" s="143" t="n">
        <v>358</v>
      </c>
      <c r="I201" s="143" t="n">
        <v>18030</v>
      </c>
      <c r="J201" s="144" t="n">
        <v>3469.36</v>
      </c>
      <c r="K201" s="144" t="n">
        <v>3575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聯電(2303)</t>
        </is>
      </c>
      <c r="E202" s="143" t="n">
        <v>1007</v>
      </c>
      <c r="F202" s="143" t="n">
        <v>44</v>
      </c>
      <c r="G202" s="143" t="n">
        <v>13474</v>
      </c>
      <c r="H202" s="143" t="n">
        <v>581</v>
      </c>
      <c r="I202" s="143" t="n">
        <v>12893</v>
      </c>
      <c r="J202" s="144" t="n">
        <v>133.81</v>
      </c>
      <c r="K202" s="144" t="n">
        <v>132.05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華新科(2492)</t>
        </is>
      </c>
      <c r="E203" s="143" t="n">
        <v>227</v>
      </c>
      <c r="F203" s="143" t="n">
        <v>11</v>
      </c>
      <c r="G203" s="143" t="n">
        <v>7059</v>
      </c>
      <c r="H203" s="143" t="n">
        <v>337</v>
      </c>
      <c r="I203" s="143" t="n">
        <v>6722</v>
      </c>
      <c r="J203" s="144" t="n">
        <v>310.97</v>
      </c>
      <c r="K203" s="144" t="n">
        <v>306.36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雙鴻(3324)</t>
        </is>
      </c>
      <c r="E204" s="143" t="n">
        <v>51</v>
      </c>
      <c r="F204" s="143" t="n">
        <v>2</v>
      </c>
      <c r="G204" s="143" t="n">
        <v>6827</v>
      </c>
      <c r="H204" s="143" t="n">
        <v>316</v>
      </c>
      <c r="I204" s="143" t="n">
        <v>6511</v>
      </c>
      <c r="J204" s="144" t="n">
        <v>1338.69</v>
      </c>
      <c r="K204" s="144" t="n">
        <v>1577.5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智邦(2345)</t>
        </is>
      </c>
      <c r="E205" s="143" t="n">
        <v>14</v>
      </c>
      <c r="F205" s="143" t="n">
        <v>1</v>
      </c>
      <c r="G205" s="143" t="n">
        <v>3108</v>
      </c>
      <c r="H205" s="143" t="n">
        <v>22</v>
      </c>
      <c r="I205" s="143" t="n">
        <v>3086</v>
      </c>
      <c r="J205" s="144" t="n">
        <v>2220</v>
      </c>
      <c r="K205" s="144" t="n">
        <v>217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南亞(1303)</t>
        </is>
      </c>
      <c r="E206" s="143" t="n">
        <v>99</v>
      </c>
      <c r="F206" s="143" t="n">
        <v>26</v>
      </c>
      <c r="G206" s="143" t="n">
        <v>2388</v>
      </c>
      <c r="H206" s="143" t="n">
        <v>634</v>
      </c>
      <c r="I206" s="143" t="n">
        <v>1754</v>
      </c>
      <c r="J206" s="144" t="n">
        <v>241.23</v>
      </c>
      <c r="K206" s="144" t="n">
        <v>243.73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亞泰金屬(6727)</t>
        </is>
      </c>
      <c r="E207" s="143" t="n">
        <v>40</v>
      </c>
      <c r="F207" s="143" t="n">
        <v>0</v>
      </c>
      <c r="G207" s="143" t="n">
        <v>2292</v>
      </c>
      <c r="H207" s="143" t="n">
        <v>0</v>
      </c>
      <c r="I207" s="143" t="n">
        <v>2292</v>
      </c>
      <c r="J207" s="144" t="n">
        <v>572.98</v>
      </c>
      <c r="K207" s="144" t="n">
        <v>0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臻鼎-KY(4958)</t>
        </is>
      </c>
      <c r="E208" s="143" t="n">
        <v>32</v>
      </c>
      <c r="F208" s="143" t="n">
        <v>18</v>
      </c>
      <c r="G208" s="143" t="n">
        <v>1700</v>
      </c>
      <c r="H208" s="143" t="n">
        <v>951</v>
      </c>
      <c r="I208" s="143" t="n">
        <v>749</v>
      </c>
      <c r="J208" s="144" t="n">
        <v>531.34</v>
      </c>
      <c r="K208" s="144" t="n">
        <v>528.5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金居(8358)</t>
        </is>
      </c>
      <c r="E209" s="143" t="n">
        <v>30</v>
      </c>
      <c r="F209" s="143" t="n">
        <v>24</v>
      </c>
      <c r="G209" s="143" t="n">
        <v>1602</v>
      </c>
      <c r="H209" s="143" t="n">
        <v>1255</v>
      </c>
      <c r="I209" s="143" t="n">
        <v>347</v>
      </c>
      <c r="J209" s="144" t="n">
        <v>534.03</v>
      </c>
      <c r="K209" s="144" t="n">
        <v>523.08</v>
      </c>
      <c r="L209" s="235">
        <f>F209*(K209-J209)</f>
        <v/>
      </c>
    </row>
    <row r="210" ht="16.5" customHeight="1">
      <c r="A210" s="146" t="n"/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A211" s="145" t="n"/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聯電(2303)</t>
        </is>
      </c>
      <c r="E211" s="143" t="n">
        <v>3400</v>
      </c>
      <c r="F211" s="143" t="n">
        <v>581</v>
      </c>
      <c r="G211" s="143" t="n">
        <v>45282</v>
      </c>
      <c r="H211" s="143" t="n">
        <v>7494</v>
      </c>
      <c r="I211" s="143" t="n">
        <v>37788</v>
      </c>
      <c r="J211" s="144" t="n">
        <v>133.18</v>
      </c>
      <c r="K211" s="144" t="n">
        <v>128.98</v>
      </c>
      <c r="L211" s="235">
        <f>F211*(K211-J211)</f>
        <v/>
      </c>
    </row>
    <row r="212" ht="16.5" customHeight="1">
      <c r="A212" s="145" t="n"/>
      <c r="B212" s="145" t="n"/>
      <c r="C212" s="145" t="n"/>
      <c r="D212" s="142" t="inlineStr">
        <is>
          <t>臻鼎-KY(4958)</t>
        </is>
      </c>
      <c r="E212" s="143" t="n">
        <v>523</v>
      </c>
      <c r="F212" s="143" t="n">
        <v>38</v>
      </c>
      <c r="G212" s="143" t="n">
        <v>28570</v>
      </c>
      <c r="H212" s="143" t="n">
        <v>2045</v>
      </c>
      <c r="I212" s="143" t="n">
        <v>26525</v>
      </c>
      <c r="J212" s="144" t="n">
        <v>546.28</v>
      </c>
      <c r="K212" s="144" t="n">
        <v>538.21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智邦(2345)</t>
        </is>
      </c>
      <c r="E213" s="143" t="n">
        <v>101</v>
      </c>
      <c r="F213" s="143" t="n">
        <v>2</v>
      </c>
      <c r="G213" s="143" t="n">
        <v>22217</v>
      </c>
      <c r="H213" s="143" t="n">
        <v>455</v>
      </c>
      <c r="I213" s="143" t="n">
        <v>21762</v>
      </c>
      <c r="J213" s="144" t="n">
        <v>2199.67</v>
      </c>
      <c r="K213" s="144" t="n">
        <v>2276</v>
      </c>
      <c r="L213" s="236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欣興(3037)</t>
        </is>
      </c>
      <c r="E214" s="143" t="n">
        <v>189</v>
      </c>
      <c r="F214" s="143" t="n">
        <v>157</v>
      </c>
      <c r="G214" s="143" t="n">
        <v>18330</v>
      </c>
      <c r="H214" s="143" t="n">
        <v>15247</v>
      </c>
      <c r="I214" s="143" t="n">
        <v>3083</v>
      </c>
      <c r="J214" s="144" t="n">
        <v>969.83</v>
      </c>
      <c r="K214" s="144" t="n">
        <v>971.15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緯穎(6669)</t>
        </is>
      </c>
      <c r="E215" s="143" t="n">
        <v>21</v>
      </c>
      <c r="F215" s="143" t="n">
        <v>2</v>
      </c>
      <c r="G215" s="143" t="n">
        <v>16354</v>
      </c>
      <c r="H215" s="143" t="n">
        <v>1696</v>
      </c>
      <c r="I215" s="143" t="n">
        <v>14658</v>
      </c>
      <c r="J215" s="144" t="n">
        <v>7787.43</v>
      </c>
      <c r="K215" s="144" t="n">
        <v>8482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日月光投控(3711)</t>
        </is>
      </c>
      <c r="E216" s="143" t="n">
        <v>200</v>
      </c>
      <c r="F216" s="143" t="n">
        <v>1</v>
      </c>
      <c r="G216" s="143" t="n">
        <v>12232</v>
      </c>
      <c r="H216" s="143" t="n">
        <v>36</v>
      </c>
      <c r="I216" s="143" t="n">
        <v>12196</v>
      </c>
      <c r="J216" s="144" t="n">
        <v>611.61</v>
      </c>
      <c r="K216" s="144" t="n">
        <v>365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華新科(2492)</t>
        </is>
      </c>
      <c r="E217" s="143" t="n">
        <v>356</v>
      </c>
      <c r="F217" s="143" t="n">
        <v>27</v>
      </c>
      <c r="G217" s="143" t="n">
        <v>11088</v>
      </c>
      <c r="H217" s="143" t="n">
        <v>809</v>
      </c>
      <c r="I217" s="143" t="n">
        <v>10279</v>
      </c>
      <c r="J217" s="144" t="n">
        <v>311.47</v>
      </c>
      <c r="K217" s="144" t="n">
        <v>299.56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雙鴻(3324)</t>
        </is>
      </c>
      <c r="E218" s="143" t="n">
        <v>71</v>
      </c>
      <c r="F218" s="143" t="n">
        <v>13</v>
      </c>
      <c r="G218" s="143" t="n">
        <v>9342</v>
      </c>
      <c r="H218" s="143" t="n">
        <v>1764</v>
      </c>
      <c r="I218" s="143" t="n">
        <v>7578</v>
      </c>
      <c r="J218" s="144" t="n">
        <v>1315.73</v>
      </c>
      <c r="K218" s="144" t="n">
        <v>1357.15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華通(2313)</t>
        </is>
      </c>
      <c r="E219" s="143" t="n">
        <v>334</v>
      </c>
      <c r="F219" s="143" t="n">
        <v>29</v>
      </c>
      <c r="G219" s="143" t="n">
        <v>8457</v>
      </c>
      <c r="H219" s="143" t="n">
        <v>740</v>
      </c>
      <c r="I219" s="143" t="n">
        <v>7717</v>
      </c>
      <c r="J219" s="144" t="n">
        <v>253.2</v>
      </c>
      <c r="K219" s="144" t="n">
        <v>255.07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宏捷科(8086)</t>
        </is>
      </c>
      <c r="E220" s="143" t="n">
        <v>501</v>
      </c>
      <c r="F220" s="143" t="n">
        <v>0</v>
      </c>
      <c r="G220" s="143" t="n">
        <v>6207</v>
      </c>
      <c r="H220" s="143" t="n">
        <v>0</v>
      </c>
      <c r="I220" s="143" t="n">
        <v>6207</v>
      </c>
      <c r="J220" s="144" t="n">
        <v>123.89</v>
      </c>
      <c r="K220" s="144" t="n">
        <v>0</v>
      </c>
      <c r="L220" s="236">
        <f>F220*(K220-J220)</f>
        <v/>
      </c>
    </row>
    <row r="221" ht="16.5" customHeight="1">
      <c r="A221" s="146" t="n"/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A222" s="145" t="n"/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健策(3653)</t>
        </is>
      </c>
      <c r="E222" s="143" t="n">
        <v>50</v>
      </c>
      <c r="F222" s="143" t="n">
        <v>1</v>
      </c>
      <c r="G222" s="143" t="n">
        <v>29426</v>
      </c>
      <c r="H222" s="143" t="n">
        <v>592</v>
      </c>
      <c r="I222" s="143" t="n">
        <v>28834</v>
      </c>
      <c r="J222" s="144" t="n">
        <v>5885.12</v>
      </c>
      <c r="K222" s="144" t="n">
        <v>5920</v>
      </c>
      <c r="L222" s="236">
        <f>F222*(K222-J222)</f>
        <v/>
      </c>
    </row>
    <row r="223" ht="16.5" customHeight="1">
      <c r="A223" s="145" t="n"/>
      <c r="B223" s="145" t="n"/>
      <c r="C223" s="145" t="n"/>
      <c r="D223" s="142" t="inlineStr">
        <is>
          <t>聯電(2303)</t>
        </is>
      </c>
      <c r="E223" s="143" t="n">
        <v>1457</v>
      </c>
      <c r="F223" s="143" t="n">
        <v>88</v>
      </c>
      <c r="G223" s="143" t="n">
        <v>19347</v>
      </c>
      <c r="H223" s="143" t="n">
        <v>1179</v>
      </c>
      <c r="I223" s="143" t="n">
        <v>18168</v>
      </c>
      <c r="J223" s="144" t="n">
        <v>132.79</v>
      </c>
      <c r="K223" s="144" t="n">
        <v>133.97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南亞科(2408)</t>
        </is>
      </c>
      <c r="E224" s="143" t="n">
        <v>342</v>
      </c>
      <c r="F224" s="143" t="n">
        <v>7</v>
      </c>
      <c r="G224" s="143" t="n">
        <v>17730</v>
      </c>
      <c r="H224" s="143" t="n">
        <v>350</v>
      </c>
      <c r="I224" s="143" t="n">
        <v>17380</v>
      </c>
      <c r="J224" s="144" t="n">
        <v>518.42</v>
      </c>
      <c r="K224" s="144" t="n">
        <v>500.43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奇鋐(3017)</t>
        </is>
      </c>
      <c r="E225" s="143" t="n">
        <v>40</v>
      </c>
      <c r="F225" s="143" t="n">
        <v>1</v>
      </c>
      <c r="G225" s="143" t="n">
        <v>13641</v>
      </c>
      <c r="H225" s="143" t="n">
        <v>0</v>
      </c>
      <c r="I225" s="143" t="n">
        <v>13641</v>
      </c>
      <c r="J225" s="144" t="n">
        <v>3410.18</v>
      </c>
      <c r="K225" s="144" t="n">
        <v>3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欣興(3037)</t>
        </is>
      </c>
      <c r="E226" s="143" t="n">
        <v>114</v>
      </c>
      <c r="F226" s="143" t="n">
        <v>17</v>
      </c>
      <c r="G226" s="143" t="n">
        <v>11029</v>
      </c>
      <c r="H226" s="143" t="n">
        <v>1651</v>
      </c>
      <c r="I226" s="143" t="n">
        <v>9378</v>
      </c>
      <c r="J226" s="144" t="n">
        <v>967.48</v>
      </c>
      <c r="K226" s="144" t="n">
        <v>971.24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景碩(3189)</t>
        </is>
      </c>
      <c r="E227" s="143" t="n">
        <v>116</v>
      </c>
      <c r="F227" s="143" t="n">
        <v>9</v>
      </c>
      <c r="G227" s="143" t="n">
        <v>10071</v>
      </c>
      <c r="H227" s="143" t="n">
        <v>749</v>
      </c>
      <c r="I227" s="143" t="n">
        <v>9322</v>
      </c>
      <c r="J227" s="144" t="n">
        <v>868.1799999999999</v>
      </c>
      <c r="K227" s="144" t="n">
        <v>832.4400000000001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南電(8046)</t>
        </is>
      </c>
      <c r="E228" s="143" t="n">
        <v>82</v>
      </c>
      <c r="F228" s="143" t="n">
        <v>45</v>
      </c>
      <c r="G228" s="143" t="n">
        <v>10004</v>
      </c>
      <c r="H228" s="143" t="n">
        <v>5500</v>
      </c>
      <c r="I228" s="143" t="n">
        <v>4504</v>
      </c>
      <c r="J228" s="144" t="n">
        <v>1219.94</v>
      </c>
      <c r="K228" s="144" t="n">
        <v>1222.13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漢達(6620)</t>
        </is>
      </c>
      <c r="E229" s="143" t="n">
        <v>844</v>
      </c>
      <c r="F229" s="143" t="n">
        <v>0</v>
      </c>
      <c r="G229" s="143" t="n">
        <v>8435</v>
      </c>
      <c r="H229" s="143" t="n">
        <v>0</v>
      </c>
      <c r="I229" s="143" t="n">
        <v>8435</v>
      </c>
      <c r="J229" s="144" t="n">
        <v>99.94</v>
      </c>
      <c r="K229" s="144" t="n">
        <v>0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臻鼎-KY(4958)</t>
        </is>
      </c>
      <c r="E230" s="143" t="n">
        <v>152</v>
      </c>
      <c r="F230" s="143" t="n">
        <v>55</v>
      </c>
      <c r="G230" s="143" t="n">
        <v>7992</v>
      </c>
      <c r="H230" s="143" t="n">
        <v>2982</v>
      </c>
      <c r="I230" s="143" t="n">
        <v>5010</v>
      </c>
      <c r="J230" s="144" t="n">
        <v>525.77</v>
      </c>
      <c r="K230" s="144" t="n">
        <v>542.1799999999999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華邦電(2344)</t>
        </is>
      </c>
      <c r="E231" s="143" t="n">
        <v>408</v>
      </c>
      <c r="F231" s="143" t="n">
        <v>18</v>
      </c>
      <c r="G231" s="143" t="n">
        <v>7208</v>
      </c>
      <c r="H231" s="143" t="n">
        <v>319</v>
      </c>
      <c r="I231" s="143" t="n">
        <v>6889</v>
      </c>
      <c r="J231" s="144" t="n">
        <v>176.65</v>
      </c>
      <c r="K231" s="144" t="n">
        <v>177.39</v>
      </c>
      <c r="L231" s="236">
        <f>F231*(K231-J231)</f>
        <v/>
      </c>
    </row>
    <row r="232" ht="16.5" customHeight="1">
      <c r="A232" s="146" t="n"/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A233" s="145" t="n"/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聯電(2303)</t>
        </is>
      </c>
      <c r="E233" s="143" t="n">
        <v>1500</v>
      </c>
      <c r="F233" s="143" t="n">
        <v>82</v>
      </c>
      <c r="G233" s="143" t="n">
        <v>19902</v>
      </c>
      <c r="H233" s="143" t="n">
        <v>1079</v>
      </c>
      <c r="I233" s="143" t="n">
        <v>18823</v>
      </c>
      <c r="J233" s="144" t="n">
        <v>132.68</v>
      </c>
      <c r="K233" s="144" t="n">
        <v>131.54</v>
      </c>
      <c r="L233" s="235">
        <f>F233*(K233-J233)</f>
        <v/>
      </c>
    </row>
    <row r="234" ht="16.5" customHeight="1">
      <c r="A234" s="145" t="n"/>
      <c r="B234" s="145" t="n"/>
      <c r="C234" s="145" t="n"/>
      <c r="D234" s="142" t="inlineStr">
        <is>
          <t>世芯-KY(3661)</t>
        </is>
      </c>
      <c r="E234" s="143" t="n">
        <v>12</v>
      </c>
      <c r="F234" s="143" t="n">
        <v>1</v>
      </c>
      <c r="G234" s="143" t="n">
        <v>5159</v>
      </c>
      <c r="H234" s="143" t="n">
        <v>425</v>
      </c>
      <c r="I234" s="143" t="n">
        <v>4734</v>
      </c>
      <c r="J234" s="144" t="n">
        <v>4299.17</v>
      </c>
      <c r="K234" s="144" t="n">
        <v>4248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聯亞(3081)</t>
        </is>
      </c>
      <c r="E235" s="143" t="n">
        <v>11</v>
      </c>
      <c r="F235" s="143" t="n">
        <v>1</v>
      </c>
      <c r="G235" s="143" t="n">
        <v>3854</v>
      </c>
      <c r="H235" s="143" t="n">
        <v>345</v>
      </c>
      <c r="I235" s="143" t="n">
        <v>3509</v>
      </c>
      <c r="J235" s="144" t="n">
        <v>3503.18</v>
      </c>
      <c r="K235" s="144" t="n">
        <v>3450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台光電(2383)</t>
        </is>
      </c>
      <c r="E236" s="143" t="n">
        <v>5</v>
      </c>
      <c r="F236" s="143" t="n">
        <v>1</v>
      </c>
      <c r="G236" s="143" t="n">
        <v>2880</v>
      </c>
      <c r="H236" s="143" t="n">
        <v>17</v>
      </c>
      <c r="I236" s="143" t="n">
        <v>2863</v>
      </c>
      <c r="J236" s="144" t="n">
        <v>5760.4</v>
      </c>
      <c r="K236" s="144" t="n">
        <v>166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訊芯-KY(6451)</t>
        </is>
      </c>
      <c r="E237" s="143" t="n">
        <v>38</v>
      </c>
      <c r="F237" s="143" t="n">
        <v>8</v>
      </c>
      <c r="G237" s="143" t="n">
        <v>1741</v>
      </c>
      <c r="H237" s="143" t="n">
        <v>369</v>
      </c>
      <c r="I237" s="143" t="n">
        <v>1372</v>
      </c>
      <c r="J237" s="144" t="n">
        <v>458.11</v>
      </c>
      <c r="K237" s="144" t="n">
        <v>460.88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金居(8358)</t>
        </is>
      </c>
      <c r="E238" s="143" t="n">
        <v>27</v>
      </c>
      <c r="F238" s="143" t="n">
        <v>18</v>
      </c>
      <c r="G238" s="143" t="n">
        <v>1398</v>
      </c>
      <c r="H238" s="143" t="n">
        <v>960</v>
      </c>
      <c r="I238" s="143" t="n">
        <v>438</v>
      </c>
      <c r="J238" s="144" t="n">
        <v>517.85</v>
      </c>
      <c r="K238" s="144" t="n">
        <v>533.33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南電(8046)</t>
        </is>
      </c>
      <c r="E239" s="143" t="n">
        <v>9</v>
      </c>
      <c r="F239" s="143" t="n">
        <v>7</v>
      </c>
      <c r="G239" s="143" t="n">
        <v>1125</v>
      </c>
      <c r="H239" s="143" t="n">
        <v>894</v>
      </c>
      <c r="I239" s="143" t="n">
        <v>231</v>
      </c>
      <c r="J239" s="144" t="n">
        <v>1250.11</v>
      </c>
      <c r="K239" s="144" t="n">
        <v>1276.86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尖點(8021)</t>
        </is>
      </c>
      <c r="E240" s="143" t="n">
        <v>25</v>
      </c>
      <c r="F240" s="143" t="n">
        <v>5</v>
      </c>
      <c r="G240" s="143" t="n">
        <v>1121</v>
      </c>
      <c r="H240" s="143" t="n">
        <v>226</v>
      </c>
      <c r="I240" s="143" t="n">
        <v>895</v>
      </c>
      <c r="J240" s="144" t="n">
        <v>448.32</v>
      </c>
      <c r="K240" s="144" t="n">
        <v>452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台虹(8039)</t>
        </is>
      </c>
      <c r="E241" s="143" t="n">
        <v>35</v>
      </c>
      <c r="F241" s="143" t="n">
        <v>29</v>
      </c>
      <c r="G241" s="143" t="n">
        <v>1102</v>
      </c>
      <c r="H241" s="143" t="n">
        <v>929</v>
      </c>
      <c r="I241" s="143" t="n">
        <v>173</v>
      </c>
      <c r="J241" s="144" t="n">
        <v>314.97</v>
      </c>
      <c r="K241" s="144" t="n">
        <v>320.24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晶豪科(3006)</t>
        </is>
      </c>
      <c r="E242" s="143" t="n">
        <v>38</v>
      </c>
      <c r="F242" s="143" t="n">
        <v>5</v>
      </c>
      <c r="G242" s="143" t="n">
        <v>1074</v>
      </c>
      <c r="H242" s="143" t="n">
        <v>144</v>
      </c>
      <c r="I242" s="143" t="n">
        <v>930</v>
      </c>
      <c r="J242" s="144" t="n">
        <v>282.74</v>
      </c>
      <c r="K242" s="144" t="n">
        <v>287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聯發科(2454)</t>
        </is>
      </c>
      <c r="E244" s="150" t="n">
        <v>51</v>
      </c>
      <c r="F244" s="150" t="n">
        <v>6</v>
      </c>
      <c r="G244" s="150" t="n">
        <v>21905</v>
      </c>
      <c r="H244" s="150" t="n">
        <v>2646</v>
      </c>
      <c r="I244" s="150" t="n">
        <v>19259</v>
      </c>
      <c r="J244" s="151" t="n">
        <v>4295.12</v>
      </c>
      <c r="K244" s="151" t="n">
        <v>4410</v>
      </c>
      <c r="L244" s="236">
        <f>F244*(K244-J244)</f>
        <v/>
      </c>
    </row>
    <row r="245" ht="16.5" customHeight="1">
      <c r="A245" s="152" t="n"/>
      <c r="B245" s="152" t="n"/>
      <c r="C245" s="152" t="n"/>
      <c r="D245" s="149" t="inlineStr">
        <is>
          <t>南亞科(2408)</t>
        </is>
      </c>
      <c r="E245" s="150" t="n">
        <v>261</v>
      </c>
      <c r="F245" s="150" t="n">
        <v>19</v>
      </c>
      <c r="G245" s="150" t="n">
        <v>13641</v>
      </c>
      <c r="H245" s="150" t="n">
        <v>1008</v>
      </c>
      <c r="I245" s="150" t="n">
        <v>12633</v>
      </c>
      <c r="J245" s="151" t="n">
        <v>522.66</v>
      </c>
      <c r="K245" s="151" t="n">
        <v>530.79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禾伸堂(3026)</t>
        </is>
      </c>
      <c r="E246" s="150" t="n">
        <v>78</v>
      </c>
      <c r="F246" s="150" t="n">
        <v>75</v>
      </c>
      <c r="G246" s="150" t="n">
        <v>5728</v>
      </c>
      <c r="H246" s="150" t="n">
        <v>5518</v>
      </c>
      <c r="I246" s="150" t="n">
        <v>210</v>
      </c>
      <c r="J246" s="151" t="n">
        <v>734.38</v>
      </c>
      <c r="K246" s="151" t="n">
        <v>735.79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群聯(8299)</t>
        </is>
      </c>
      <c r="E247" s="150" t="n">
        <v>7</v>
      </c>
      <c r="F247" s="150" t="n">
        <v>2</v>
      </c>
      <c r="G247" s="150" t="n">
        <v>1505</v>
      </c>
      <c r="H247" s="150" t="n">
        <v>425</v>
      </c>
      <c r="I247" s="150" t="n">
        <v>1080</v>
      </c>
      <c r="J247" s="151" t="n">
        <v>2150</v>
      </c>
      <c r="K247" s="151" t="n">
        <v>2125</v>
      </c>
      <c r="L247" s="235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華邦電(2344)</t>
        </is>
      </c>
      <c r="E248" s="150" t="n">
        <v>71</v>
      </c>
      <c r="F248" s="150" t="n">
        <v>29</v>
      </c>
      <c r="G248" s="150" t="n">
        <v>1265</v>
      </c>
      <c r="H248" s="150" t="n">
        <v>520</v>
      </c>
      <c r="I248" s="150" t="n">
        <v>745</v>
      </c>
      <c r="J248" s="151" t="n">
        <v>178.14</v>
      </c>
      <c r="K248" s="151" t="n">
        <v>179.45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華新科(2492)</t>
        </is>
      </c>
      <c r="E249" s="150" t="n">
        <v>39</v>
      </c>
      <c r="F249" s="150" t="n">
        <v>32</v>
      </c>
      <c r="G249" s="150" t="n">
        <v>1166</v>
      </c>
      <c r="H249" s="150" t="n">
        <v>978</v>
      </c>
      <c r="I249" s="150" t="n">
        <v>188</v>
      </c>
      <c r="J249" s="151" t="n">
        <v>298.95</v>
      </c>
      <c r="K249" s="151" t="n">
        <v>305.53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世芯-KY(3661)</t>
        </is>
      </c>
      <c r="E250" s="150" t="n">
        <v>3</v>
      </c>
      <c r="F250" s="150" t="n">
        <v>2</v>
      </c>
      <c r="G250" s="150" t="n">
        <v>1102</v>
      </c>
      <c r="H250" s="150" t="n">
        <v>905</v>
      </c>
      <c r="I250" s="150" t="n">
        <v>197</v>
      </c>
      <c r="J250" s="151" t="n">
        <v>3671.67</v>
      </c>
      <c r="K250" s="151" t="n">
        <v>4527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群創(3481)</t>
        </is>
      </c>
      <c r="E251" s="150" t="n">
        <v>208</v>
      </c>
      <c r="F251" s="150" t="n">
        <v>29</v>
      </c>
      <c r="G251" s="150" t="n">
        <v>1030</v>
      </c>
      <c r="H251" s="150" t="n">
        <v>144</v>
      </c>
      <c r="I251" s="150" t="n">
        <v>886</v>
      </c>
      <c r="J251" s="151" t="n">
        <v>49.51</v>
      </c>
      <c r="K251" s="151" t="n">
        <v>49.55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環宇-KY(4991)</t>
        </is>
      </c>
      <c r="E252" s="150" t="n">
        <v>19</v>
      </c>
      <c r="F252" s="150" t="n">
        <v>3</v>
      </c>
      <c r="G252" s="150" t="n">
        <v>1027</v>
      </c>
      <c r="H252" s="150" t="n">
        <v>160</v>
      </c>
      <c r="I252" s="150" t="n">
        <v>867</v>
      </c>
      <c r="J252" s="151" t="n">
        <v>540.74</v>
      </c>
      <c r="K252" s="151" t="n">
        <v>532.67</v>
      </c>
      <c r="L252" s="235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力積電(6770)</t>
        </is>
      </c>
      <c r="E253" s="150" t="n">
        <v>128</v>
      </c>
      <c r="F253" s="150" t="n">
        <v>15</v>
      </c>
      <c r="G253" s="150" t="n">
        <v>912</v>
      </c>
      <c r="H253" s="150" t="n">
        <v>110</v>
      </c>
      <c r="I253" s="150" t="n">
        <v>802</v>
      </c>
      <c r="J253" s="151" t="n">
        <v>71.23999999999999</v>
      </c>
      <c r="K253" s="151" t="n">
        <v>73.40000000000001</v>
      </c>
      <c r="L253" s="236">
        <f>F253*(K253-J253)</f>
        <v/>
      </c>
    </row>
    <row r="254" ht="16.5" customHeight="1">
      <c r="A254" s="153" t="n"/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A255" s="152" t="n"/>
      <c r="B255" s="148" t="inlineStr">
        <is>
          <t>凱基證券</t>
        </is>
      </c>
      <c r="C255" s="148" t="inlineStr">
        <is>
          <t>9200</t>
        </is>
      </c>
      <c r="D255" s="149" t="inlineStr">
        <is>
          <t>旺矽(6223)</t>
        </is>
      </c>
      <c r="E255" s="150" t="n">
        <v>119</v>
      </c>
      <c r="F255" s="150" t="n">
        <v>32</v>
      </c>
      <c r="G255" s="150" t="n">
        <v>64327</v>
      </c>
      <c r="H255" s="150" t="n">
        <v>17310</v>
      </c>
      <c r="I255" s="150" t="n">
        <v>47017</v>
      </c>
      <c r="J255" s="151" t="n">
        <v>5405.62</v>
      </c>
      <c r="K255" s="151" t="n">
        <v>5409.25</v>
      </c>
      <c r="L255" s="236">
        <f>F255*(K255-J255)</f>
        <v/>
      </c>
    </row>
    <row r="256" ht="16.5" customHeight="1">
      <c r="A256" s="152" t="n"/>
      <c r="B256" s="152" t="n"/>
      <c r="C256" s="152" t="n"/>
      <c r="D256" s="149" t="inlineStr">
        <is>
          <t>臻鼎-KY(4958)</t>
        </is>
      </c>
      <c r="E256" s="150" t="n">
        <v>1077</v>
      </c>
      <c r="F256" s="150" t="n">
        <v>243</v>
      </c>
      <c r="G256" s="150" t="n">
        <v>57825</v>
      </c>
      <c r="H256" s="150" t="n">
        <v>13041</v>
      </c>
      <c r="I256" s="150" t="n">
        <v>44784</v>
      </c>
      <c r="J256" s="151" t="n">
        <v>536.91</v>
      </c>
      <c r="K256" s="151" t="n">
        <v>536.6799999999999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金像電(2368)</t>
        </is>
      </c>
      <c r="E257" s="150" t="n">
        <v>392</v>
      </c>
      <c r="F257" s="150" t="n">
        <v>4</v>
      </c>
      <c r="G257" s="150" t="n">
        <v>47962</v>
      </c>
      <c r="H257" s="150" t="n">
        <v>492</v>
      </c>
      <c r="I257" s="150" t="n">
        <v>47470</v>
      </c>
      <c r="J257" s="151" t="n">
        <v>1223.53</v>
      </c>
      <c r="K257" s="151" t="n">
        <v>1230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聯電(2303)</t>
        </is>
      </c>
      <c r="E258" s="150" t="n">
        <v>3191</v>
      </c>
      <c r="F258" s="150" t="n">
        <v>1514</v>
      </c>
      <c r="G258" s="150" t="n">
        <v>42445</v>
      </c>
      <c r="H258" s="150" t="n">
        <v>19999</v>
      </c>
      <c r="I258" s="150" t="n">
        <v>22446</v>
      </c>
      <c r="J258" s="151" t="n">
        <v>133.01</v>
      </c>
      <c r="K258" s="151" t="n">
        <v>132.09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貿聯-KY(3665)</t>
        </is>
      </c>
      <c r="E259" s="150" t="n">
        <v>182</v>
      </c>
      <c r="F259" s="150" t="n">
        <v>79</v>
      </c>
      <c r="G259" s="150" t="n">
        <v>42036</v>
      </c>
      <c r="H259" s="150" t="n">
        <v>18374</v>
      </c>
      <c r="I259" s="150" t="n">
        <v>23662</v>
      </c>
      <c r="J259" s="151" t="n">
        <v>2309.68</v>
      </c>
      <c r="K259" s="151" t="n">
        <v>2325.77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緯穎(6669)</t>
        </is>
      </c>
      <c r="E260" s="150" t="n">
        <v>51</v>
      </c>
      <c r="F260" s="150" t="n">
        <v>6</v>
      </c>
      <c r="G260" s="150" t="n">
        <v>39448</v>
      </c>
      <c r="H260" s="150" t="n">
        <v>4738</v>
      </c>
      <c r="I260" s="150" t="n">
        <v>34710</v>
      </c>
      <c r="J260" s="151" t="n">
        <v>7734.88</v>
      </c>
      <c r="K260" s="151" t="n">
        <v>7896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台積電(2330)</t>
        </is>
      </c>
      <c r="E261" s="150" t="n">
        <v>139</v>
      </c>
      <c r="F261" s="150" t="n">
        <v>70</v>
      </c>
      <c r="G261" s="150" t="n">
        <v>33957</v>
      </c>
      <c r="H261" s="150" t="n">
        <v>17110</v>
      </c>
      <c r="I261" s="150" t="n">
        <v>16847</v>
      </c>
      <c r="J261" s="151" t="n">
        <v>2442.96</v>
      </c>
      <c r="K261" s="151" t="n">
        <v>2444.27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廣達(2382)</t>
        </is>
      </c>
      <c r="E262" s="150" t="n">
        <v>926</v>
      </c>
      <c r="F262" s="150" t="n">
        <v>49</v>
      </c>
      <c r="G262" s="150" t="n">
        <v>31464</v>
      </c>
      <c r="H262" s="150" t="n">
        <v>1675</v>
      </c>
      <c r="I262" s="150" t="n">
        <v>29789</v>
      </c>
      <c r="J262" s="151" t="n">
        <v>339.78</v>
      </c>
      <c r="K262" s="151" t="n">
        <v>341.9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富邦金(2881)</t>
        </is>
      </c>
      <c r="E263" s="150" t="n">
        <v>1951</v>
      </c>
      <c r="F263" s="150" t="n">
        <v>120</v>
      </c>
      <c r="G263" s="150" t="n">
        <v>28259</v>
      </c>
      <c r="H263" s="150" t="n">
        <v>1702</v>
      </c>
      <c r="I263" s="150" t="n">
        <v>26557</v>
      </c>
      <c r="J263" s="151" t="n">
        <v>144.84</v>
      </c>
      <c r="K263" s="151" t="n">
        <v>141.79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順達(3211)</t>
        </is>
      </c>
      <c r="E264" s="150" t="n">
        <v>681</v>
      </c>
      <c r="F264" s="150" t="n">
        <v>1</v>
      </c>
      <c r="G264" s="150" t="n">
        <v>27579</v>
      </c>
      <c r="H264" s="150" t="n">
        <v>40</v>
      </c>
      <c r="I264" s="150" t="n">
        <v>27539</v>
      </c>
      <c r="J264" s="151" t="n">
        <v>404.97</v>
      </c>
      <c r="K264" s="151" t="n">
        <v>399</v>
      </c>
      <c r="L264" s="235">
        <f>F264*(K264-J264)</f>
        <v/>
      </c>
    </row>
    <row r="265" ht="16.5" customHeight="1">
      <c r="A265" s="153" t="n"/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A266" s="152" t="n"/>
      <c r="B266" s="148" t="inlineStr">
        <is>
          <t>富邦證券</t>
        </is>
      </c>
      <c r="C266" s="148" t="inlineStr">
        <is>
          <t>9600</t>
        </is>
      </c>
      <c r="D266" s="149" t="inlineStr">
        <is>
          <t>聯發科(2454)</t>
        </is>
      </c>
      <c r="E266" s="150" t="n">
        <v>638</v>
      </c>
      <c r="F266" s="150" t="n">
        <v>31</v>
      </c>
      <c r="G266" s="150" t="n">
        <v>275461</v>
      </c>
      <c r="H266" s="150" t="n">
        <v>13213</v>
      </c>
      <c r="I266" s="150" t="n">
        <v>262248</v>
      </c>
      <c r="J266" s="151" t="n">
        <v>4317.58</v>
      </c>
      <c r="K266" s="151" t="n">
        <v>4262.26</v>
      </c>
      <c r="L266" s="235">
        <f>F266*(K266-J266)</f>
        <v/>
      </c>
    </row>
    <row r="267" ht="16.5" customHeight="1">
      <c r="A267" s="152" t="n"/>
      <c r="B267" s="152" t="n"/>
      <c r="C267" s="152" t="n"/>
      <c r="D267" s="149" t="inlineStr">
        <is>
          <t>台積電(2330)</t>
        </is>
      </c>
      <c r="E267" s="150" t="n">
        <v>622</v>
      </c>
      <c r="F267" s="150" t="n">
        <v>268</v>
      </c>
      <c r="G267" s="150" t="n">
        <v>151720</v>
      </c>
      <c r="H267" s="150" t="n">
        <v>65504</v>
      </c>
      <c r="I267" s="150" t="n">
        <v>86216</v>
      </c>
      <c r="J267" s="151" t="n">
        <v>2439.22</v>
      </c>
      <c r="K267" s="151" t="n">
        <v>2444.17</v>
      </c>
      <c r="L267" s="236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聯電(2303)</t>
        </is>
      </c>
      <c r="E268" s="150" t="n">
        <v>10087</v>
      </c>
      <c r="F268" s="150" t="n">
        <v>3393</v>
      </c>
      <c r="G268" s="150" t="n">
        <v>134158</v>
      </c>
      <c r="H268" s="150" t="n">
        <v>45098</v>
      </c>
      <c r="I268" s="150" t="n">
        <v>89060</v>
      </c>
      <c r="J268" s="151" t="n">
        <v>133</v>
      </c>
      <c r="K268" s="151" t="n">
        <v>132.91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穩懋(3105)</t>
        </is>
      </c>
      <c r="E269" s="150" t="n">
        <v>2223</v>
      </c>
      <c r="F269" s="150" t="n">
        <v>329</v>
      </c>
      <c r="G269" s="150" t="n">
        <v>108605</v>
      </c>
      <c r="H269" s="150" t="n">
        <v>15547</v>
      </c>
      <c r="I269" s="150" t="n">
        <v>93058</v>
      </c>
      <c r="J269" s="151" t="n">
        <v>488.55</v>
      </c>
      <c r="K269" s="151" t="n">
        <v>472.55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京元電子(2449)</t>
        </is>
      </c>
      <c r="E270" s="150" t="n">
        <v>3555</v>
      </c>
      <c r="F270" s="150" t="n">
        <v>87</v>
      </c>
      <c r="G270" s="150" t="n">
        <v>98032</v>
      </c>
      <c r="H270" s="150" t="n">
        <v>2398</v>
      </c>
      <c r="I270" s="150" t="n">
        <v>95634</v>
      </c>
      <c r="J270" s="151" t="n">
        <v>275.76</v>
      </c>
      <c r="K270" s="151" t="n">
        <v>275.68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金像電(2368)</t>
        </is>
      </c>
      <c r="E271" s="150" t="n">
        <v>676</v>
      </c>
      <c r="F271" s="150" t="n">
        <v>239</v>
      </c>
      <c r="G271" s="150" t="n">
        <v>82795</v>
      </c>
      <c r="H271" s="150" t="n">
        <v>29234</v>
      </c>
      <c r="I271" s="150" t="n">
        <v>53561</v>
      </c>
      <c r="J271" s="151" t="n">
        <v>1224.77</v>
      </c>
      <c r="K271" s="151" t="n">
        <v>1223.17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合晶(6182)</t>
        </is>
      </c>
      <c r="E272" s="150" t="n">
        <v>6393</v>
      </c>
      <c r="F272" s="150" t="n">
        <v>1750</v>
      </c>
      <c r="G272" s="150" t="n">
        <v>73427</v>
      </c>
      <c r="H272" s="150" t="n">
        <v>19606</v>
      </c>
      <c r="I272" s="150" t="n">
        <v>53821</v>
      </c>
      <c r="J272" s="151" t="n">
        <v>114.85</v>
      </c>
      <c r="K272" s="151" t="n">
        <v>112.04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奇鋐(3017)</t>
        </is>
      </c>
      <c r="E273" s="150" t="n">
        <v>206</v>
      </c>
      <c r="F273" s="150" t="n">
        <v>39</v>
      </c>
      <c r="G273" s="150" t="n">
        <v>70404</v>
      </c>
      <c r="H273" s="150" t="n">
        <v>13333</v>
      </c>
      <c r="I273" s="150" t="n">
        <v>57071</v>
      </c>
      <c r="J273" s="151" t="n">
        <v>3417.67</v>
      </c>
      <c r="K273" s="151" t="n">
        <v>3418.82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智邦(2345)</t>
        </is>
      </c>
      <c r="E274" s="150" t="n">
        <v>277</v>
      </c>
      <c r="F274" s="150" t="n">
        <v>24</v>
      </c>
      <c r="G274" s="150" t="n">
        <v>61066</v>
      </c>
      <c r="H274" s="150" t="n">
        <v>5195</v>
      </c>
      <c r="I274" s="150" t="n">
        <v>55871</v>
      </c>
      <c r="J274" s="151" t="n">
        <v>2204.53</v>
      </c>
      <c r="K274" s="151" t="n">
        <v>2164.71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臻鼎-KY(4958)</t>
        </is>
      </c>
      <c r="E275" s="150" t="n">
        <v>1017</v>
      </c>
      <c r="F275" s="150" t="n">
        <v>271</v>
      </c>
      <c r="G275" s="150" t="n">
        <v>54407</v>
      </c>
      <c r="H275" s="150" t="n">
        <v>14481</v>
      </c>
      <c r="I275" s="150" t="n">
        <v>39926</v>
      </c>
      <c r="J275" s="151" t="n">
        <v>534.97</v>
      </c>
      <c r="K275" s="151" t="n">
        <v>534.34</v>
      </c>
      <c r="L275" s="235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信驊(5274)</t>
        </is>
      </c>
      <c r="E277" s="157" t="n">
        <v>10</v>
      </c>
      <c r="F277" s="157" t="n">
        <v>1</v>
      </c>
      <c r="G277" s="157" t="n">
        <v>17048</v>
      </c>
      <c r="H277" s="157" t="n">
        <v>1994</v>
      </c>
      <c r="I277" s="157" t="n">
        <v>15054</v>
      </c>
      <c r="J277" s="158" t="n">
        <v>17047.9</v>
      </c>
      <c r="K277" s="158" t="n">
        <v>19944</v>
      </c>
      <c r="L277" s="236">
        <f>F277*(K277-J277)</f>
        <v/>
      </c>
    </row>
    <row r="278" ht="16.5" customHeight="1">
      <c r="A278" s="159" t="n"/>
      <c r="B278" s="159" t="n"/>
      <c r="C278" s="159" t="n"/>
      <c r="D278" s="156" t="inlineStr">
        <is>
          <t>南亞科(2408)</t>
        </is>
      </c>
      <c r="E278" s="157" t="n">
        <v>191</v>
      </c>
      <c r="F278" s="157" t="n">
        <v>22</v>
      </c>
      <c r="G278" s="157" t="n">
        <v>9965</v>
      </c>
      <c r="H278" s="157" t="n">
        <v>1130</v>
      </c>
      <c r="I278" s="157" t="n">
        <v>8835</v>
      </c>
      <c r="J278" s="158" t="n">
        <v>521.75</v>
      </c>
      <c r="K278" s="158" t="n">
        <v>513.41</v>
      </c>
      <c r="L278" s="235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鼎元(2426)</t>
        </is>
      </c>
      <c r="E279" s="157" t="n">
        <v>786</v>
      </c>
      <c r="F279" s="157" t="n">
        <v>616</v>
      </c>
      <c r="G279" s="157" t="n">
        <v>8045</v>
      </c>
      <c r="H279" s="157" t="n">
        <v>6362</v>
      </c>
      <c r="I279" s="157" t="n">
        <v>1683</v>
      </c>
      <c r="J279" s="158" t="n">
        <v>102.35</v>
      </c>
      <c r="K279" s="158" t="n">
        <v>103.29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南亞(1303)</t>
        </is>
      </c>
      <c r="E280" s="157" t="n">
        <v>247</v>
      </c>
      <c r="F280" s="157" t="n">
        <v>117</v>
      </c>
      <c r="G280" s="157" t="n">
        <v>5816</v>
      </c>
      <c r="H280" s="157" t="n">
        <v>2778</v>
      </c>
      <c r="I280" s="157" t="n">
        <v>3038</v>
      </c>
      <c r="J280" s="158" t="n">
        <v>235.48</v>
      </c>
      <c r="K280" s="158" t="n">
        <v>237.4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金像電(2368)</t>
        </is>
      </c>
      <c r="E281" s="157" t="n">
        <v>46</v>
      </c>
      <c r="F281" s="157" t="n">
        <v>14</v>
      </c>
      <c r="G281" s="157" t="n">
        <v>5671</v>
      </c>
      <c r="H281" s="157" t="n">
        <v>1750</v>
      </c>
      <c r="I281" s="157" t="n">
        <v>3921</v>
      </c>
      <c r="J281" s="158" t="n">
        <v>1232.74</v>
      </c>
      <c r="K281" s="158" t="n">
        <v>1250.21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華邦電(2344)</t>
        </is>
      </c>
      <c r="E282" s="157" t="n">
        <v>318</v>
      </c>
      <c r="F282" s="157" t="n">
        <v>121</v>
      </c>
      <c r="G282" s="157" t="n">
        <v>5638</v>
      </c>
      <c r="H282" s="157" t="n">
        <v>2143</v>
      </c>
      <c r="I282" s="157" t="n">
        <v>3495</v>
      </c>
      <c r="J282" s="158" t="n">
        <v>177.29</v>
      </c>
      <c r="K282" s="158" t="n">
        <v>177.07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富喬(1815)</t>
        </is>
      </c>
      <c r="E283" s="157" t="n">
        <v>383</v>
      </c>
      <c r="F283" s="157" t="n">
        <v>237</v>
      </c>
      <c r="G283" s="157" t="n">
        <v>4896</v>
      </c>
      <c r="H283" s="157" t="n">
        <v>3055</v>
      </c>
      <c r="I283" s="157" t="n">
        <v>1841</v>
      </c>
      <c r="J283" s="158" t="n">
        <v>127.83</v>
      </c>
      <c r="K283" s="158" t="n">
        <v>128.9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緯穎(6669)</t>
        </is>
      </c>
      <c r="E284" s="157" t="n">
        <v>6</v>
      </c>
      <c r="F284" s="157" t="n">
        <v>1</v>
      </c>
      <c r="G284" s="157" t="n">
        <v>4778</v>
      </c>
      <c r="H284" s="157" t="n">
        <v>188</v>
      </c>
      <c r="I284" s="157" t="n">
        <v>4590</v>
      </c>
      <c r="J284" s="158" t="n">
        <v>7962.5</v>
      </c>
      <c r="K284" s="158" t="n">
        <v>1883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強茂(2481)</t>
        </is>
      </c>
      <c r="E285" s="157" t="n">
        <v>294</v>
      </c>
      <c r="F285" s="157" t="n">
        <v>212</v>
      </c>
      <c r="G285" s="157" t="n">
        <v>4626</v>
      </c>
      <c r="H285" s="157" t="n">
        <v>3301</v>
      </c>
      <c r="I285" s="157" t="n">
        <v>1325</v>
      </c>
      <c r="J285" s="158" t="n">
        <v>157.34</v>
      </c>
      <c r="K285" s="158" t="n">
        <v>155.7</v>
      </c>
      <c r="L285" s="235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南電(8046)</t>
        </is>
      </c>
      <c r="E286" s="157" t="n">
        <v>30</v>
      </c>
      <c r="F286" s="157" t="n">
        <v>18</v>
      </c>
      <c r="G286" s="157" t="n">
        <v>3676</v>
      </c>
      <c r="H286" s="157" t="n">
        <v>2192</v>
      </c>
      <c r="I286" s="157" t="n">
        <v>1484</v>
      </c>
      <c r="J286" s="158" t="n">
        <v>1225.23</v>
      </c>
      <c r="K286" s="158" t="n">
        <v>1217.5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創意(3443)</t>
        </is>
      </c>
      <c r="E288" s="163" t="n">
        <v>18</v>
      </c>
      <c r="F288" s="163" t="n">
        <v>1</v>
      </c>
      <c r="G288" s="163" t="n">
        <v>10552</v>
      </c>
      <c r="H288" s="163" t="n">
        <v>72</v>
      </c>
      <c r="I288" s="163" t="n">
        <v>10480</v>
      </c>
      <c r="J288" s="164" t="n">
        <v>5862.28</v>
      </c>
      <c r="K288" s="164" t="n">
        <v>723</v>
      </c>
      <c r="L288" s="235">
        <f>F288*(K288-J288)</f>
        <v/>
      </c>
    </row>
    <row r="289" ht="16.5" customHeight="1">
      <c r="A289" s="165" t="n"/>
      <c r="B289" s="165" t="n"/>
      <c r="C289" s="165" t="n"/>
      <c r="D289" s="162" t="inlineStr">
        <is>
          <t>大立光(3008)</t>
        </is>
      </c>
      <c r="E289" s="163" t="n">
        <v>7</v>
      </c>
      <c r="F289" s="163" t="n">
        <v>6</v>
      </c>
      <c r="G289" s="163" t="n">
        <v>5501</v>
      </c>
      <c r="H289" s="163" t="n">
        <v>4704</v>
      </c>
      <c r="I289" s="163" t="n">
        <v>797</v>
      </c>
      <c r="J289" s="164" t="n">
        <v>7858.57</v>
      </c>
      <c r="K289" s="164" t="n">
        <v>7839.67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華城(1519)</t>
        </is>
      </c>
      <c r="E290" s="163" t="n">
        <v>61</v>
      </c>
      <c r="F290" s="163" t="n">
        <v>1</v>
      </c>
      <c r="G290" s="163" t="n">
        <v>4659</v>
      </c>
      <c r="H290" s="163" t="n">
        <v>106</v>
      </c>
      <c r="I290" s="163" t="n">
        <v>4553</v>
      </c>
      <c r="J290" s="164" t="n">
        <v>763.77</v>
      </c>
      <c r="K290" s="164" t="n">
        <v>1061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南亞科(2408)</t>
        </is>
      </c>
      <c r="E291" s="163" t="n">
        <v>70</v>
      </c>
      <c r="F291" s="163" t="n">
        <v>4</v>
      </c>
      <c r="G291" s="163" t="n">
        <v>3657</v>
      </c>
      <c r="H291" s="163" t="n">
        <v>229</v>
      </c>
      <c r="I291" s="163" t="n">
        <v>3428</v>
      </c>
      <c r="J291" s="164" t="n">
        <v>522.41</v>
      </c>
      <c r="K291" s="164" t="n">
        <v>572.75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雅特力-KY(6907)</t>
        </is>
      </c>
      <c r="E292" s="163" t="n">
        <v>82</v>
      </c>
      <c r="F292" s="163" t="n">
        <v>1</v>
      </c>
      <c r="G292" s="163" t="n">
        <v>1578</v>
      </c>
      <c r="H292" s="163" t="n">
        <v>0</v>
      </c>
      <c r="I292" s="163" t="n">
        <v>1578</v>
      </c>
      <c r="J292" s="164" t="n">
        <v>192.39</v>
      </c>
      <c r="K292" s="164" t="n">
        <v>2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德律(3030)</t>
        </is>
      </c>
      <c r="E293" s="163" t="n">
        <v>50</v>
      </c>
      <c r="F293" s="163" t="n">
        <v>1</v>
      </c>
      <c r="G293" s="163" t="n">
        <v>1509</v>
      </c>
      <c r="H293" s="163" t="n">
        <v>3</v>
      </c>
      <c r="I293" s="163" t="n">
        <v>1506</v>
      </c>
      <c r="J293" s="164" t="n">
        <v>301.78</v>
      </c>
      <c r="K293" s="164" t="n">
        <v>33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華邦電(2344)</t>
        </is>
      </c>
      <c r="E294" s="163" t="n">
        <v>76</v>
      </c>
      <c r="F294" s="163" t="n">
        <v>14</v>
      </c>
      <c r="G294" s="163" t="n">
        <v>1347</v>
      </c>
      <c r="H294" s="163" t="n">
        <v>254</v>
      </c>
      <c r="I294" s="163" t="n">
        <v>1093</v>
      </c>
      <c r="J294" s="164" t="n">
        <v>177.22</v>
      </c>
      <c r="K294" s="164" t="n">
        <v>181.5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力積電(6770)</t>
        </is>
      </c>
      <c r="E295" s="163" t="n">
        <v>163</v>
      </c>
      <c r="F295" s="163" t="n">
        <v>17</v>
      </c>
      <c r="G295" s="163" t="n">
        <v>1162</v>
      </c>
      <c r="H295" s="163" t="n">
        <v>122</v>
      </c>
      <c r="I295" s="163" t="n">
        <v>1040</v>
      </c>
      <c r="J295" s="164" t="n">
        <v>71.28</v>
      </c>
      <c r="K295" s="164" t="n">
        <v>71.81999999999999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世芯-KY(3661)</t>
        </is>
      </c>
      <c r="E296" s="163" t="n">
        <v>2</v>
      </c>
      <c r="F296" s="163" t="n">
        <v>1</v>
      </c>
      <c r="G296" s="163" t="n">
        <v>887</v>
      </c>
      <c r="H296" s="163" t="n">
        <v>540</v>
      </c>
      <c r="I296" s="163" t="n">
        <v>347</v>
      </c>
      <c r="J296" s="164" t="n">
        <v>4435.5</v>
      </c>
      <c r="K296" s="164" t="n">
        <v>5399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南亞(1303)</t>
        </is>
      </c>
      <c r="E297" s="163" t="n">
        <v>37</v>
      </c>
      <c r="F297" s="163" t="n">
        <v>16</v>
      </c>
      <c r="G297" s="163" t="n">
        <v>863</v>
      </c>
      <c r="H297" s="163" t="n">
        <v>384</v>
      </c>
      <c r="I297" s="163" t="n">
        <v>479</v>
      </c>
      <c r="J297" s="164" t="n">
        <v>233.22</v>
      </c>
      <c r="K297" s="164" t="n">
        <v>239.81</v>
      </c>
      <c r="L297" s="236">
        <f>F297*(K297-J297)</f>
        <v/>
      </c>
    </row>
    <row r="298" ht="16.5" customHeight="1">
      <c r="A298" s="166" t="n"/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A299" s="165" t="n"/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大立光(3008)</t>
        </is>
      </c>
      <c r="E299" s="163" t="n">
        <v>9</v>
      </c>
      <c r="F299" s="163" t="n">
        <v>1</v>
      </c>
      <c r="G299" s="163" t="n">
        <v>6966</v>
      </c>
      <c r="H299" s="163" t="n">
        <v>937</v>
      </c>
      <c r="I299" s="163" t="n">
        <v>6029</v>
      </c>
      <c r="J299" s="164" t="n">
        <v>7739.67</v>
      </c>
      <c r="K299" s="164" t="n">
        <v>9370</v>
      </c>
      <c r="L299" s="236">
        <f>F299*(K299-J299)</f>
        <v/>
      </c>
    </row>
    <row r="300" ht="16.5" customHeight="1">
      <c r="A300" s="165" t="n"/>
      <c r="B300" s="165" t="n"/>
      <c r="C300" s="165" t="n"/>
      <c r="D300" s="162" t="inlineStr">
        <is>
          <t>南亞科(2408)</t>
        </is>
      </c>
      <c r="E300" s="163" t="n">
        <v>126</v>
      </c>
      <c r="F300" s="163" t="n">
        <v>32</v>
      </c>
      <c r="G300" s="163" t="n">
        <v>6641</v>
      </c>
      <c r="H300" s="163" t="n">
        <v>1666</v>
      </c>
      <c r="I300" s="163" t="n">
        <v>4975</v>
      </c>
      <c r="J300" s="164" t="n">
        <v>527.05</v>
      </c>
      <c r="K300" s="164" t="n">
        <v>520.53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南亞(1303)</t>
        </is>
      </c>
      <c r="E301" s="163" t="n">
        <v>124</v>
      </c>
      <c r="F301" s="163" t="n">
        <v>89</v>
      </c>
      <c r="G301" s="163" t="n">
        <v>2941</v>
      </c>
      <c r="H301" s="163" t="n">
        <v>2150</v>
      </c>
      <c r="I301" s="163" t="n">
        <v>791</v>
      </c>
      <c r="J301" s="164" t="n">
        <v>237.18</v>
      </c>
      <c r="K301" s="164" t="n">
        <v>241.62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聯鈞(3450)</t>
        </is>
      </c>
      <c r="E302" s="163" t="n">
        <v>40</v>
      </c>
      <c r="F302" s="163" t="n">
        <v>14</v>
      </c>
      <c r="G302" s="163" t="n">
        <v>2568</v>
      </c>
      <c r="H302" s="163" t="n">
        <v>889</v>
      </c>
      <c r="I302" s="163" t="n">
        <v>1679</v>
      </c>
      <c r="J302" s="164" t="n">
        <v>642.05</v>
      </c>
      <c r="K302" s="164" t="n">
        <v>635</v>
      </c>
      <c r="L302" s="235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創意(3443)</t>
        </is>
      </c>
      <c r="E303" s="163" t="n">
        <v>4</v>
      </c>
      <c r="F303" s="163" t="n">
        <v>2</v>
      </c>
      <c r="G303" s="163" t="n">
        <v>2517</v>
      </c>
      <c r="H303" s="163" t="n">
        <v>1202</v>
      </c>
      <c r="I303" s="163" t="n">
        <v>1315</v>
      </c>
      <c r="J303" s="164" t="n">
        <v>6293.5</v>
      </c>
      <c r="K303" s="164" t="n">
        <v>6011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鼎元(2426)</t>
        </is>
      </c>
      <c r="E304" s="163" t="n">
        <v>229</v>
      </c>
      <c r="F304" s="163" t="n">
        <v>209</v>
      </c>
      <c r="G304" s="163" t="n">
        <v>2391</v>
      </c>
      <c r="H304" s="163" t="n">
        <v>2097</v>
      </c>
      <c r="I304" s="163" t="n">
        <v>294</v>
      </c>
      <c r="J304" s="164" t="n">
        <v>104.43</v>
      </c>
      <c r="K304" s="164" t="n">
        <v>100.32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金居(8358)</t>
        </is>
      </c>
      <c r="E305" s="163" t="n">
        <v>39</v>
      </c>
      <c r="F305" s="163" t="n">
        <v>28</v>
      </c>
      <c r="G305" s="163" t="n">
        <v>2074</v>
      </c>
      <c r="H305" s="163" t="n">
        <v>1496</v>
      </c>
      <c r="I305" s="163" t="n">
        <v>578</v>
      </c>
      <c r="J305" s="164" t="n">
        <v>531.9</v>
      </c>
      <c r="K305" s="164" t="n">
        <v>534.1799999999999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群創(3481)</t>
        </is>
      </c>
      <c r="E306" s="163" t="n">
        <v>403</v>
      </c>
      <c r="F306" s="163" t="n">
        <v>373</v>
      </c>
      <c r="G306" s="163" t="n">
        <v>1987</v>
      </c>
      <c r="H306" s="163" t="n">
        <v>1839</v>
      </c>
      <c r="I306" s="163" t="n">
        <v>148</v>
      </c>
      <c r="J306" s="164" t="n">
        <v>49.3</v>
      </c>
      <c r="K306" s="164" t="n">
        <v>49.3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台達電(2308)</t>
        </is>
      </c>
      <c r="E307" s="163" t="n">
        <v>6</v>
      </c>
      <c r="F307" s="163" t="n">
        <v>3</v>
      </c>
      <c r="G307" s="163" t="n">
        <v>1197</v>
      </c>
      <c r="H307" s="163" t="n">
        <v>623</v>
      </c>
      <c r="I307" s="163" t="n">
        <v>574</v>
      </c>
      <c r="J307" s="164" t="n">
        <v>1994.33</v>
      </c>
      <c r="K307" s="164" t="n">
        <v>2076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緯創(3231)</t>
        </is>
      </c>
      <c r="E308" s="163" t="n">
        <v>66</v>
      </c>
      <c r="F308" s="163" t="n">
        <v>18</v>
      </c>
      <c r="G308" s="163" t="n">
        <v>1190</v>
      </c>
      <c r="H308" s="163" t="n">
        <v>327</v>
      </c>
      <c r="I308" s="163" t="n">
        <v>863</v>
      </c>
      <c r="J308" s="164" t="n">
        <v>180.32</v>
      </c>
      <c r="K308" s="164" t="n">
        <v>181.67</v>
      </c>
      <c r="L308" s="236">
        <f>F308*(K308-J308)</f>
        <v/>
      </c>
    </row>
    <row r="309" ht="16.5" customHeight="1">
      <c r="A309" s="166" t="n"/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A310" s="165" t="n"/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南亞科(2408)</t>
        </is>
      </c>
      <c r="E310" s="163" t="n">
        <v>101</v>
      </c>
      <c r="F310" s="163" t="n">
        <v>42</v>
      </c>
      <c r="G310" s="163" t="n">
        <v>5313</v>
      </c>
      <c r="H310" s="163" t="n">
        <v>2222</v>
      </c>
      <c r="I310" s="163" t="n">
        <v>3091</v>
      </c>
      <c r="J310" s="164" t="n">
        <v>526.01</v>
      </c>
      <c r="K310" s="164" t="n">
        <v>529</v>
      </c>
      <c r="L310" s="236">
        <f>F310*(K310-J310)</f>
        <v/>
      </c>
    </row>
    <row r="311" ht="16.5" customHeight="1">
      <c r="A311" s="165" t="n"/>
      <c r="B311" s="165" t="n"/>
      <c r="C311" s="165" t="n"/>
      <c r="D311" s="162" t="inlineStr">
        <is>
          <t>聯鈞(3450)</t>
        </is>
      </c>
      <c r="E311" s="163" t="n">
        <v>71</v>
      </c>
      <c r="F311" s="163" t="n">
        <v>56</v>
      </c>
      <c r="G311" s="163" t="n">
        <v>4408</v>
      </c>
      <c r="H311" s="163" t="n">
        <v>3494</v>
      </c>
      <c r="I311" s="163" t="n">
        <v>914</v>
      </c>
      <c r="J311" s="164" t="n">
        <v>620.9</v>
      </c>
      <c r="K311" s="164" t="n">
        <v>623.91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南亞(1303)</t>
        </is>
      </c>
      <c r="E312" s="163" t="n">
        <v>140</v>
      </c>
      <c r="F312" s="163" t="n">
        <v>73</v>
      </c>
      <c r="G312" s="163" t="n">
        <v>3334</v>
      </c>
      <c r="H312" s="163" t="n">
        <v>1738</v>
      </c>
      <c r="I312" s="163" t="n">
        <v>1596</v>
      </c>
      <c r="J312" s="164" t="n">
        <v>238.16</v>
      </c>
      <c r="K312" s="164" t="n">
        <v>238.15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群聯(8299)</t>
        </is>
      </c>
      <c r="E313" s="163" t="n">
        <v>15</v>
      </c>
      <c r="F313" s="163" t="n">
        <v>8</v>
      </c>
      <c r="G313" s="163" t="n">
        <v>3264</v>
      </c>
      <c r="H313" s="163" t="n">
        <v>1615</v>
      </c>
      <c r="I313" s="163" t="n">
        <v>1649</v>
      </c>
      <c r="J313" s="164" t="n">
        <v>2175.87</v>
      </c>
      <c r="K313" s="164" t="n">
        <v>2019.12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台虹(8039)</t>
        </is>
      </c>
      <c r="E314" s="163" t="n">
        <v>99</v>
      </c>
      <c r="F314" s="163" t="n">
        <v>81</v>
      </c>
      <c r="G314" s="163" t="n">
        <v>3163</v>
      </c>
      <c r="H314" s="163" t="n">
        <v>2597</v>
      </c>
      <c r="I314" s="163" t="n">
        <v>566</v>
      </c>
      <c r="J314" s="164" t="n">
        <v>319.51</v>
      </c>
      <c r="K314" s="164" t="n">
        <v>320.64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華邦電(2344)</t>
        </is>
      </c>
      <c r="E315" s="163" t="n">
        <v>172</v>
      </c>
      <c r="F315" s="163" t="n">
        <v>83</v>
      </c>
      <c r="G315" s="163" t="n">
        <v>3059</v>
      </c>
      <c r="H315" s="163" t="n">
        <v>1469</v>
      </c>
      <c r="I315" s="163" t="n">
        <v>1590</v>
      </c>
      <c r="J315" s="164" t="n">
        <v>177.83</v>
      </c>
      <c r="K315" s="164" t="n">
        <v>177</v>
      </c>
      <c r="L315" s="235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上詮(3363)</t>
        </is>
      </c>
      <c r="E316" s="163" t="n">
        <v>29</v>
      </c>
      <c r="F316" s="163" t="n">
        <v>24</v>
      </c>
      <c r="G316" s="163" t="n">
        <v>2287</v>
      </c>
      <c r="H316" s="163" t="n">
        <v>1913</v>
      </c>
      <c r="I316" s="163" t="n">
        <v>374</v>
      </c>
      <c r="J316" s="164" t="n">
        <v>788.66</v>
      </c>
      <c r="K316" s="164" t="n">
        <v>797.08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聯電(2303)</t>
        </is>
      </c>
      <c r="E317" s="163" t="n">
        <v>172</v>
      </c>
      <c r="F317" s="163" t="n">
        <v>149</v>
      </c>
      <c r="G317" s="163" t="n">
        <v>2279</v>
      </c>
      <c r="H317" s="163" t="n">
        <v>1974</v>
      </c>
      <c r="I317" s="163" t="n">
        <v>305</v>
      </c>
      <c r="J317" s="164" t="n">
        <v>132.5</v>
      </c>
      <c r="K317" s="164" t="n">
        <v>132.5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南電(8046)</t>
        </is>
      </c>
      <c r="E318" s="163" t="n">
        <v>18</v>
      </c>
      <c r="F318" s="163" t="n">
        <v>12</v>
      </c>
      <c r="G318" s="163" t="n">
        <v>2256</v>
      </c>
      <c r="H318" s="163" t="n">
        <v>1511</v>
      </c>
      <c r="I318" s="163" t="n">
        <v>745</v>
      </c>
      <c r="J318" s="164" t="n">
        <v>1253.56</v>
      </c>
      <c r="K318" s="164" t="n">
        <v>1258.83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聯茂(6213)</t>
        </is>
      </c>
      <c r="E319" s="163" t="n">
        <v>40</v>
      </c>
      <c r="F319" s="163" t="n">
        <v>7</v>
      </c>
      <c r="G319" s="163" t="n">
        <v>2209</v>
      </c>
      <c r="H319" s="163" t="n">
        <v>389</v>
      </c>
      <c r="I319" s="163" t="n">
        <v>1820</v>
      </c>
      <c r="J319" s="164" t="n">
        <v>552.2</v>
      </c>
      <c r="K319" s="164" t="n">
        <v>556.29</v>
      </c>
      <c r="L319" s="236">
        <f>F319*(K319-J319)</f>
        <v/>
      </c>
    </row>
    <row r="320" ht="16.5" customHeight="1">
      <c r="A320" s="166" t="n"/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A321" s="165" t="n"/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台積電(2330)</t>
        </is>
      </c>
      <c r="E321" s="163" t="n">
        <v>87</v>
      </c>
      <c r="F321" s="163" t="n">
        <v>78</v>
      </c>
      <c r="G321" s="163" t="n">
        <v>21330</v>
      </c>
      <c r="H321" s="163" t="n">
        <v>19008</v>
      </c>
      <c r="I321" s="163" t="n">
        <v>2322</v>
      </c>
      <c r="J321" s="164" t="n">
        <v>2451.74</v>
      </c>
      <c r="K321" s="164" t="n">
        <v>2436.86</v>
      </c>
      <c r="L321" s="235">
        <f>F321*(K321-J321)</f>
        <v/>
      </c>
    </row>
    <row r="322" ht="16.5" customHeight="1">
      <c r="A322" s="165" t="n"/>
      <c r="B322" s="165" t="n"/>
      <c r="C322" s="165" t="n"/>
      <c r="D322" s="162" t="inlineStr">
        <is>
          <t>台達電(2308)</t>
        </is>
      </c>
      <c r="E322" s="163" t="n">
        <v>105</v>
      </c>
      <c r="F322" s="163" t="n">
        <v>95</v>
      </c>
      <c r="G322" s="163" t="n">
        <v>19512</v>
      </c>
      <c r="H322" s="163" t="n">
        <v>17806</v>
      </c>
      <c r="I322" s="163" t="n">
        <v>1706</v>
      </c>
      <c r="J322" s="164" t="n">
        <v>1858.24</v>
      </c>
      <c r="K322" s="164" t="n">
        <v>1874.36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雙鴻(3324)</t>
        </is>
      </c>
      <c r="E323" s="163" t="n">
        <v>112</v>
      </c>
      <c r="F323" s="163" t="n">
        <v>6</v>
      </c>
      <c r="G323" s="163" t="n">
        <v>14988</v>
      </c>
      <c r="H323" s="163" t="n">
        <v>866</v>
      </c>
      <c r="I323" s="163" t="n">
        <v>14122</v>
      </c>
      <c r="J323" s="164" t="n">
        <v>1338.26</v>
      </c>
      <c r="K323" s="164" t="n">
        <v>1444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緯穎(6669)</t>
        </is>
      </c>
      <c r="E324" s="163" t="n">
        <v>17</v>
      </c>
      <c r="F324" s="163" t="n">
        <v>3</v>
      </c>
      <c r="G324" s="163" t="n">
        <v>13532</v>
      </c>
      <c r="H324" s="163" t="n">
        <v>2404</v>
      </c>
      <c r="I324" s="163" t="n">
        <v>11128</v>
      </c>
      <c r="J324" s="164" t="n">
        <v>7959.94</v>
      </c>
      <c r="K324" s="164" t="n">
        <v>8014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欣興(3037)</t>
        </is>
      </c>
      <c r="E325" s="163" t="n">
        <v>94</v>
      </c>
      <c r="F325" s="163" t="n">
        <v>84</v>
      </c>
      <c r="G325" s="163" t="n">
        <v>9125</v>
      </c>
      <c r="H325" s="163" t="n">
        <v>8190</v>
      </c>
      <c r="I325" s="163" t="n">
        <v>935</v>
      </c>
      <c r="J325" s="164" t="n">
        <v>970.7</v>
      </c>
      <c r="K325" s="164" t="n">
        <v>975.04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南亞(1303)</t>
        </is>
      </c>
      <c r="E326" s="163" t="n">
        <v>222</v>
      </c>
      <c r="F326" s="163" t="n">
        <v>149</v>
      </c>
      <c r="G326" s="163" t="n">
        <v>5299</v>
      </c>
      <c r="H326" s="163" t="n">
        <v>3539</v>
      </c>
      <c r="I326" s="163" t="n">
        <v>1760</v>
      </c>
      <c r="J326" s="164" t="n">
        <v>238.7</v>
      </c>
      <c r="K326" s="164" t="n">
        <v>237.5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南電(8046)</t>
        </is>
      </c>
      <c r="E327" s="163" t="n">
        <v>25</v>
      </c>
      <c r="F327" s="163" t="n">
        <v>20</v>
      </c>
      <c r="G327" s="163" t="n">
        <v>3062</v>
      </c>
      <c r="H327" s="163" t="n">
        <v>2389</v>
      </c>
      <c r="I327" s="163" t="n">
        <v>673</v>
      </c>
      <c r="J327" s="164" t="n">
        <v>1224.96</v>
      </c>
      <c r="K327" s="164" t="n">
        <v>1194.4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禾伸堂(3026)</t>
        </is>
      </c>
      <c r="E328" s="163" t="n">
        <v>34</v>
      </c>
      <c r="F328" s="163" t="n">
        <v>29</v>
      </c>
      <c r="G328" s="163" t="n">
        <v>2521</v>
      </c>
      <c r="H328" s="163" t="n">
        <v>2101</v>
      </c>
      <c r="I328" s="163" t="n">
        <v>420</v>
      </c>
      <c r="J328" s="164" t="n">
        <v>741.5599999999999</v>
      </c>
      <c r="K328" s="164" t="n">
        <v>724.38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創意(3443)</t>
        </is>
      </c>
      <c r="E329" s="163" t="n">
        <v>4</v>
      </c>
      <c r="F329" s="163" t="n">
        <v>3</v>
      </c>
      <c r="G329" s="163" t="n">
        <v>2509</v>
      </c>
      <c r="H329" s="163" t="n">
        <v>1894</v>
      </c>
      <c r="I329" s="163" t="n">
        <v>615</v>
      </c>
      <c r="J329" s="164" t="n">
        <v>6273.5</v>
      </c>
      <c r="K329" s="164" t="n">
        <v>6314.33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合晶(6182)</t>
        </is>
      </c>
      <c r="E330" s="163" t="n">
        <v>220</v>
      </c>
      <c r="F330" s="163" t="n">
        <v>86</v>
      </c>
      <c r="G330" s="163" t="n">
        <v>2509</v>
      </c>
      <c r="H330" s="163" t="n">
        <v>967</v>
      </c>
      <c r="I330" s="163" t="n">
        <v>1542</v>
      </c>
      <c r="J330" s="164" t="n">
        <v>114.05</v>
      </c>
      <c r="K330" s="164" t="n">
        <v>112.41</v>
      </c>
      <c r="L330" s="235">
        <f>F330*(K330-J330)</f>
        <v/>
      </c>
    </row>
    <row r="331" ht="16.5" customHeight="1">
      <c r="A331" s="166" t="n"/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A332" s="165" t="n"/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聯發科(2454)</t>
        </is>
      </c>
      <c r="E332" s="163" t="n">
        <v>20</v>
      </c>
      <c r="F332" s="163" t="n">
        <v>3</v>
      </c>
      <c r="G332" s="163" t="n">
        <v>8533</v>
      </c>
      <c r="H332" s="163" t="n">
        <v>1408</v>
      </c>
      <c r="I332" s="163" t="n">
        <v>7125</v>
      </c>
      <c r="J332" s="164" t="n">
        <v>4266.65</v>
      </c>
      <c r="K332" s="164" t="n">
        <v>4693.33</v>
      </c>
      <c r="L332" s="236">
        <f>F332*(K332-J332)</f>
        <v/>
      </c>
    </row>
    <row r="333" ht="16.5" customHeight="1">
      <c r="A333" s="165" t="n"/>
      <c r="B333" s="165" t="n"/>
      <c r="C333" s="165" t="n"/>
      <c r="D333" s="162" t="inlineStr">
        <is>
          <t>群聯(8299)</t>
        </is>
      </c>
      <c r="E333" s="163" t="n">
        <v>35</v>
      </c>
      <c r="F333" s="163" t="n">
        <v>4</v>
      </c>
      <c r="G333" s="163" t="n">
        <v>7361</v>
      </c>
      <c r="H333" s="163" t="n">
        <v>940</v>
      </c>
      <c r="I333" s="163" t="n">
        <v>6421</v>
      </c>
      <c r="J333" s="164" t="n">
        <v>2103.2</v>
      </c>
      <c r="K333" s="164" t="n">
        <v>2349.75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南亞科(2408)</t>
        </is>
      </c>
      <c r="E334" s="163" t="n">
        <v>92</v>
      </c>
      <c r="F334" s="163" t="n">
        <v>49</v>
      </c>
      <c r="G334" s="163" t="n">
        <v>4872</v>
      </c>
      <c r="H334" s="163" t="n">
        <v>2538</v>
      </c>
      <c r="I334" s="163" t="n">
        <v>2334</v>
      </c>
      <c r="J334" s="164" t="n">
        <v>529.55</v>
      </c>
      <c r="K334" s="164" t="n">
        <v>517.9</v>
      </c>
      <c r="L334" s="235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華邦電(2344)</t>
        </is>
      </c>
      <c r="E335" s="163" t="n">
        <v>189</v>
      </c>
      <c r="F335" s="163" t="n">
        <v>40</v>
      </c>
      <c r="G335" s="163" t="n">
        <v>3360</v>
      </c>
      <c r="H335" s="163" t="n">
        <v>705</v>
      </c>
      <c r="I335" s="163" t="n">
        <v>2655</v>
      </c>
      <c r="J335" s="164" t="n">
        <v>177.79</v>
      </c>
      <c r="K335" s="164" t="n">
        <v>176.3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金居(8358)</t>
        </is>
      </c>
      <c r="E336" s="163" t="n">
        <v>60</v>
      </c>
      <c r="F336" s="163" t="n">
        <v>38</v>
      </c>
      <c r="G336" s="163" t="n">
        <v>3158</v>
      </c>
      <c r="H336" s="163" t="n">
        <v>2007</v>
      </c>
      <c r="I336" s="163" t="n">
        <v>1151</v>
      </c>
      <c r="J336" s="164" t="n">
        <v>526.25</v>
      </c>
      <c r="K336" s="164" t="n">
        <v>528.13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聯電(2303)</t>
        </is>
      </c>
      <c r="E337" s="163" t="n">
        <v>223</v>
      </c>
      <c r="F337" s="163" t="n">
        <v>191</v>
      </c>
      <c r="G337" s="163" t="n">
        <v>2952</v>
      </c>
      <c r="H337" s="163" t="n">
        <v>2532</v>
      </c>
      <c r="I337" s="163" t="n">
        <v>420</v>
      </c>
      <c r="J337" s="164" t="n">
        <v>132.36</v>
      </c>
      <c r="K337" s="164" t="n">
        <v>132.59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力積電(6770)</t>
        </is>
      </c>
      <c r="E338" s="163" t="n">
        <v>374</v>
      </c>
      <c r="F338" s="163" t="n">
        <v>125</v>
      </c>
      <c r="G338" s="163" t="n">
        <v>2676</v>
      </c>
      <c r="H338" s="163" t="n">
        <v>888</v>
      </c>
      <c r="I338" s="163" t="n">
        <v>1788</v>
      </c>
      <c r="J338" s="164" t="n">
        <v>71.56</v>
      </c>
      <c r="K338" s="164" t="n">
        <v>71.03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創意(3443)</t>
        </is>
      </c>
      <c r="E339" s="163" t="n">
        <v>4</v>
      </c>
      <c r="F339" s="163" t="n">
        <v>2</v>
      </c>
      <c r="G339" s="163" t="n">
        <v>2467</v>
      </c>
      <c r="H339" s="163" t="n">
        <v>1317</v>
      </c>
      <c r="I339" s="163" t="n">
        <v>1150</v>
      </c>
      <c r="J339" s="164" t="n">
        <v>6167.5</v>
      </c>
      <c r="K339" s="164" t="n">
        <v>6586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南亞(1303)</t>
        </is>
      </c>
      <c r="E340" s="163" t="n">
        <v>85</v>
      </c>
      <c r="F340" s="163" t="n">
        <v>45</v>
      </c>
      <c r="G340" s="163" t="n">
        <v>2033</v>
      </c>
      <c r="H340" s="163" t="n">
        <v>1061</v>
      </c>
      <c r="I340" s="163" t="n">
        <v>972</v>
      </c>
      <c r="J340" s="164" t="n">
        <v>239.16</v>
      </c>
      <c r="K340" s="164" t="n">
        <v>235.71</v>
      </c>
      <c r="L340" s="235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南電(8046)</t>
        </is>
      </c>
      <c r="E341" s="163" t="n">
        <v>15</v>
      </c>
      <c r="F341" s="163" t="n">
        <v>4</v>
      </c>
      <c r="G341" s="163" t="n">
        <v>1852</v>
      </c>
      <c r="H341" s="163" t="n">
        <v>450</v>
      </c>
      <c r="I341" s="163" t="n">
        <v>1402</v>
      </c>
      <c r="J341" s="164" t="n">
        <v>1234.6</v>
      </c>
      <c r="K341" s="164" t="n">
        <v>1125.75</v>
      </c>
      <c r="L341" s="235">
        <f>F341*(K341-J341)</f>
        <v/>
      </c>
    </row>
    <row r="342" ht="16.5" customHeight="1">
      <c r="A342" s="166" t="n"/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A343" s="165" t="n"/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南亞科(2408)</t>
        </is>
      </c>
      <c r="E343" s="163" t="n">
        <v>124</v>
      </c>
      <c r="F343" s="163" t="n">
        <v>46</v>
      </c>
      <c r="G343" s="163" t="n">
        <v>6469</v>
      </c>
      <c r="H343" s="163" t="n">
        <v>2481</v>
      </c>
      <c r="I343" s="163" t="n">
        <v>3988</v>
      </c>
      <c r="J343" s="164" t="n">
        <v>521.72</v>
      </c>
      <c r="K343" s="164" t="n">
        <v>539.35</v>
      </c>
      <c r="L343" s="236">
        <f>F343*(K343-J343)</f>
        <v/>
      </c>
    </row>
    <row r="344" ht="16.5" customHeight="1">
      <c r="A344" s="165" t="n"/>
      <c r="B344" s="165" t="n"/>
      <c r="C344" s="165" t="n"/>
      <c r="D344" s="162" t="inlineStr">
        <is>
          <t>穩懋(3105)</t>
        </is>
      </c>
      <c r="E344" s="163" t="n">
        <v>134</v>
      </c>
      <c r="F344" s="163" t="n">
        <v>86</v>
      </c>
      <c r="G344" s="163" t="n">
        <v>6345</v>
      </c>
      <c r="H344" s="163" t="n">
        <v>4141</v>
      </c>
      <c r="I344" s="163" t="n">
        <v>2204</v>
      </c>
      <c r="J344" s="164" t="n">
        <v>473.51</v>
      </c>
      <c r="K344" s="164" t="n">
        <v>481.48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南亞(1303)</t>
        </is>
      </c>
      <c r="E345" s="163" t="n">
        <v>119</v>
      </c>
      <c r="F345" s="163" t="n">
        <v>69</v>
      </c>
      <c r="G345" s="163" t="n">
        <v>2833</v>
      </c>
      <c r="H345" s="163" t="n">
        <v>1679</v>
      </c>
      <c r="I345" s="163" t="n">
        <v>1154</v>
      </c>
      <c r="J345" s="164" t="n">
        <v>238.08</v>
      </c>
      <c r="K345" s="164" t="n">
        <v>243.35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旺宏(2337)</t>
        </is>
      </c>
      <c r="E346" s="163" t="n">
        <v>211</v>
      </c>
      <c r="F346" s="163" t="n">
        <v>79</v>
      </c>
      <c r="G346" s="163" t="n">
        <v>2605</v>
      </c>
      <c r="H346" s="163" t="n">
        <v>988</v>
      </c>
      <c r="I346" s="163" t="n">
        <v>1617</v>
      </c>
      <c r="J346" s="164" t="n">
        <v>123.45</v>
      </c>
      <c r="K346" s="164" t="n">
        <v>125.05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南電(8046)</t>
        </is>
      </c>
      <c r="E347" s="163" t="n">
        <v>19</v>
      </c>
      <c r="F347" s="163" t="n">
        <v>14</v>
      </c>
      <c r="G347" s="163" t="n">
        <v>2303</v>
      </c>
      <c r="H347" s="163" t="n">
        <v>1750</v>
      </c>
      <c r="I347" s="163" t="n">
        <v>553</v>
      </c>
      <c r="J347" s="164" t="n">
        <v>1211.89</v>
      </c>
      <c r="K347" s="164" t="n">
        <v>1249.86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華邦電(2344)</t>
        </is>
      </c>
      <c r="E348" s="163" t="n">
        <v>117</v>
      </c>
      <c r="F348" s="163" t="n">
        <v>26</v>
      </c>
      <c r="G348" s="163" t="n">
        <v>2071</v>
      </c>
      <c r="H348" s="163" t="n">
        <v>463</v>
      </c>
      <c r="I348" s="163" t="n">
        <v>1608</v>
      </c>
      <c r="J348" s="164" t="n">
        <v>176.97</v>
      </c>
      <c r="K348" s="164" t="n">
        <v>178.15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力積電(6770)</t>
        </is>
      </c>
      <c r="E349" s="163" t="n">
        <v>253</v>
      </c>
      <c r="F349" s="163" t="n">
        <v>127</v>
      </c>
      <c r="G349" s="163" t="n">
        <v>1801</v>
      </c>
      <c r="H349" s="163" t="n">
        <v>904</v>
      </c>
      <c r="I349" s="163" t="n">
        <v>897</v>
      </c>
      <c r="J349" s="164" t="n">
        <v>71.2</v>
      </c>
      <c r="K349" s="164" t="n">
        <v>71.14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台勝科(3532)</t>
        </is>
      </c>
      <c r="E350" s="163" t="n">
        <v>39</v>
      </c>
      <c r="F350" s="163" t="n">
        <v>32</v>
      </c>
      <c r="G350" s="163" t="n">
        <v>1554</v>
      </c>
      <c r="H350" s="163" t="n">
        <v>1292</v>
      </c>
      <c r="I350" s="163" t="n">
        <v>262</v>
      </c>
      <c r="J350" s="164" t="n">
        <v>398.54</v>
      </c>
      <c r="K350" s="164" t="n">
        <v>403.91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創意(3443)</t>
        </is>
      </c>
      <c r="E351" s="163" t="n">
        <v>3</v>
      </c>
      <c r="F351" s="163" t="n">
        <v>2</v>
      </c>
      <c r="G351" s="163" t="n">
        <v>1516</v>
      </c>
      <c r="H351" s="163" t="n">
        <v>1221</v>
      </c>
      <c r="I351" s="163" t="n">
        <v>295</v>
      </c>
      <c r="J351" s="164" t="n">
        <v>5052.33</v>
      </c>
      <c r="K351" s="164" t="n">
        <v>6107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穎崴(6515)</t>
        </is>
      </c>
      <c r="E352" s="163" t="n">
        <v>2</v>
      </c>
      <c r="F352" s="163" t="n">
        <v>1</v>
      </c>
      <c r="G352" s="163" t="n">
        <v>1342</v>
      </c>
      <c r="H352" s="163" t="n">
        <v>146</v>
      </c>
      <c r="I352" s="163" t="n">
        <v>1196</v>
      </c>
      <c r="J352" s="164" t="n">
        <v>6712.5</v>
      </c>
      <c r="K352" s="164" t="n">
        <v>1455</v>
      </c>
      <c r="L352" s="235">
        <f>F352*(K352-J352)</f>
        <v/>
      </c>
    </row>
    <row r="353" ht="16.5" customHeight="1">
      <c r="A353" s="166" t="n"/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A354" s="165" t="n"/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南亞科(2408)</t>
        </is>
      </c>
      <c r="E354" s="163" t="n">
        <v>103</v>
      </c>
      <c r="F354" s="163" t="n">
        <v>29</v>
      </c>
      <c r="G354" s="163" t="n">
        <v>5444</v>
      </c>
      <c r="H354" s="163" t="n">
        <v>1529</v>
      </c>
      <c r="I354" s="163" t="n">
        <v>3915</v>
      </c>
      <c r="J354" s="164" t="n">
        <v>528.5599999999999</v>
      </c>
      <c r="K354" s="164" t="n">
        <v>527.3099999999999</v>
      </c>
      <c r="L354" s="235">
        <f>F354*(K354-J354)</f>
        <v/>
      </c>
    </row>
    <row r="355" ht="16.5" customHeight="1">
      <c r="A355" s="165" t="n"/>
      <c r="B355" s="165" t="n"/>
      <c r="C355" s="165" t="n"/>
      <c r="D355" s="162" t="inlineStr">
        <is>
          <t>旺矽(6223)</t>
        </is>
      </c>
      <c r="E355" s="163" t="n">
        <v>8</v>
      </c>
      <c r="F355" s="163" t="n">
        <v>3</v>
      </c>
      <c r="G355" s="163" t="n">
        <v>4296</v>
      </c>
      <c r="H355" s="163" t="n">
        <v>1663</v>
      </c>
      <c r="I355" s="163" t="n">
        <v>2633</v>
      </c>
      <c r="J355" s="164" t="n">
        <v>5369.5</v>
      </c>
      <c r="K355" s="164" t="n">
        <v>5544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禾伸堂(3026)</t>
        </is>
      </c>
      <c r="E356" s="163" t="n">
        <v>52</v>
      </c>
      <c r="F356" s="163" t="n">
        <v>45</v>
      </c>
      <c r="G356" s="163" t="n">
        <v>3799</v>
      </c>
      <c r="H356" s="163" t="n">
        <v>3315</v>
      </c>
      <c r="I356" s="163" t="n">
        <v>484</v>
      </c>
      <c r="J356" s="164" t="n">
        <v>730.63</v>
      </c>
      <c r="K356" s="164" t="n">
        <v>736.6900000000001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華邦電(2344)</t>
        </is>
      </c>
      <c r="E357" s="163" t="n">
        <v>104</v>
      </c>
      <c r="F357" s="163" t="n">
        <v>35</v>
      </c>
      <c r="G357" s="163" t="n">
        <v>1861</v>
      </c>
      <c r="H357" s="163" t="n">
        <v>624</v>
      </c>
      <c r="I357" s="163" t="n">
        <v>1237</v>
      </c>
      <c r="J357" s="164" t="n">
        <v>178.92</v>
      </c>
      <c r="K357" s="164" t="n">
        <v>178.43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南亞(1303)</t>
        </is>
      </c>
      <c r="E358" s="163" t="n">
        <v>76</v>
      </c>
      <c r="F358" s="163" t="n">
        <v>26</v>
      </c>
      <c r="G358" s="163" t="n">
        <v>1795</v>
      </c>
      <c r="H358" s="163" t="n">
        <v>622</v>
      </c>
      <c r="I358" s="163" t="n">
        <v>1173</v>
      </c>
      <c r="J358" s="164" t="n">
        <v>236.21</v>
      </c>
      <c r="K358" s="164" t="n">
        <v>239.31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藥華藥(6446)</t>
        </is>
      </c>
      <c r="E359" s="163" t="n">
        <v>14</v>
      </c>
      <c r="F359" s="163" t="n">
        <v>1</v>
      </c>
      <c r="G359" s="163" t="n">
        <v>1777</v>
      </c>
      <c r="H359" s="163" t="n">
        <v>4</v>
      </c>
      <c r="I359" s="163" t="n">
        <v>1773</v>
      </c>
      <c r="J359" s="164" t="n">
        <v>1269.43</v>
      </c>
      <c r="K359" s="164" t="n">
        <v>44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國巨*(2327)</t>
        </is>
      </c>
      <c r="E360" s="163" t="n">
        <v>30</v>
      </c>
      <c r="F360" s="163" t="n">
        <v>23</v>
      </c>
      <c r="G360" s="163" t="n">
        <v>1723</v>
      </c>
      <c r="H360" s="163" t="n">
        <v>1334</v>
      </c>
      <c r="I360" s="163" t="n">
        <v>389</v>
      </c>
      <c r="J360" s="164" t="n">
        <v>574.4299999999999</v>
      </c>
      <c r="K360" s="164" t="n">
        <v>580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州巧(3543)</t>
        </is>
      </c>
      <c r="E361" s="163" t="n">
        <v>272</v>
      </c>
      <c r="F361" s="163" t="n">
        <v>0</v>
      </c>
      <c r="G361" s="163" t="n">
        <v>1374</v>
      </c>
      <c r="H361" s="163" t="n">
        <v>0</v>
      </c>
      <c r="I361" s="163" t="n">
        <v>1374</v>
      </c>
      <c r="J361" s="164" t="n">
        <v>50.51</v>
      </c>
      <c r="K361" s="164" t="n">
        <v>0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全新(2455)</t>
        </is>
      </c>
      <c r="E362" s="163" t="n">
        <v>24</v>
      </c>
      <c r="F362" s="163" t="n">
        <v>13</v>
      </c>
      <c r="G362" s="163" t="n">
        <v>1277</v>
      </c>
      <c r="H362" s="163" t="n">
        <v>699</v>
      </c>
      <c r="I362" s="163" t="n">
        <v>578</v>
      </c>
      <c r="J362" s="164" t="n">
        <v>532.08</v>
      </c>
      <c r="K362" s="164" t="n">
        <v>537.77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瀚荃(8103)</t>
        </is>
      </c>
      <c r="E363" s="163" t="n">
        <v>96</v>
      </c>
      <c r="F363" s="163" t="n">
        <v>7</v>
      </c>
      <c r="G363" s="163" t="n">
        <v>1160</v>
      </c>
      <c r="H363" s="163" t="n">
        <v>88</v>
      </c>
      <c r="I363" s="163" t="n">
        <v>1072</v>
      </c>
      <c r="J363" s="164" t="n">
        <v>120.85</v>
      </c>
      <c r="K363" s="164" t="n">
        <v>125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臻鼎-KY(4958)</t>
        </is>
      </c>
      <c r="E365" s="170" t="n">
        <v>105</v>
      </c>
      <c r="F365" s="170" t="n">
        <v>52</v>
      </c>
      <c r="G365" s="170" t="n">
        <v>5529</v>
      </c>
      <c r="H365" s="170" t="n">
        <v>2756</v>
      </c>
      <c r="I365" s="170" t="n">
        <v>2773</v>
      </c>
      <c r="J365" s="171" t="n">
        <v>526.5700000000001</v>
      </c>
      <c r="K365" s="171" t="n">
        <v>529.98</v>
      </c>
      <c r="L365" s="236">
        <f>F365*(K365-J365)</f>
        <v/>
      </c>
    </row>
    <row r="366" ht="16.5" customHeight="1">
      <c r="A366" s="172" t="n"/>
      <c r="B366" s="172" t="n"/>
      <c r="C366" s="172" t="n"/>
      <c r="D366" s="169" t="inlineStr">
        <is>
          <t>南電(8046)</t>
        </is>
      </c>
      <c r="E366" s="170" t="n">
        <v>41</v>
      </c>
      <c r="F366" s="170" t="n">
        <v>12</v>
      </c>
      <c r="G366" s="170" t="n">
        <v>5028</v>
      </c>
      <c r="H366" s="170" t="n">
        <v>1458</v>
      </c>
      <c r="I366" s="170" t="n">
        <v>3570</v>
      </c>
      <c r="J366" s="171" t="n">
        <v>1226.32</v>
      </c>
      <c r="K366" s="171" t="n">
        <v>1214.92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京元電子(2449)</t>
        </is>
      </c>
      <c r="E367" s="170" t="n">
        <v>167</v>
      </c>
      <c r="F367" s="170" t="n">
        <v>31</v>
      </c>
      <c r="G367" s="170" t="n">
        <v>4507</v>
      </c>
      <c r="H367" s="170" t="n">
        <v>858</v>
      </c>
      <c r="I367" s="170" t="n">
        <v>3649</v>
      </c>
      <c r="J367" s="171" t="n">
        <v>269.87</v>
      </c>
      <c r="K367" s="171" t="n">
        <v>276.87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景碩(3189)</t>
        </is>
      </c>
      <c r="E368" s="170" t="n">
        <v>49</v>
      </c>
      <c r="F368" s="170" t="n">
        <v>21</v>
      </c>
      <c r="G368" s="170" t="n">
        <v>4288</v>
      </c>
      <c r="H368" s="170" t="n">
        <v>1781</v>
      </c>
      <c r="I368" s="170" t="n">
        <v>2507</v>
      </c>
      <c r="J368" s="171" t="n">
        <v>875.1799999999999</v>
      </c>
      <c r="K368" s="171" t="n">
        <v>848.05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全新(2455)</t>
        </is>
      </c>
      <c r="E369" s="170" t="n">
        <v>80</v>
      </c>
      <c r="F369" s="170" t="n">
        <v>39</v>
      </c>
      <c r="G369" s="170" t="n">
        <v>4026</v>
      </c>
      <c r="H369" s="170" t="n">
        <v>1922</v>
      </c>
      <c r="I369" s="170" t="n">
        <v>2104</v>
      </c>
      <c r="J369" s="171" t="n">
        <v>503.31</v>
      </c>
      <c r="K369" s="171" t="n">
        <v>492.74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穩懋(3105)</t>
        </is>
      </c>
      <c r="E370" s="170" t="n">
        <v>80</v>
      </c>
      <c r="F370" s="170" t="n">
        <v>63</v>
      </c>
      <c r="G370" s="170" t="n">
        <v>3921</v>
      </c>
      <c r="H370" s="170" t="n">
        <v>3089</v>
      </c>
      <c r="I370" s="170" t="n">
        <v>832</v>
      </c>
      <c r="J370" s="171" t="n">
        <v>490.18</v>
      </c>
      <c r="K370" s="171" t="n">
        <v>490.32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穎崴(6515)</t>
        </is>
      </c>
      <c r="E371" s="170" t="n">
        <v>4</v>
      </c>
      <c r="F371" s="170" t="n">
        <v>1</v>
      </c>
      <c r="G371" s="170" t="n">
        <v>2819</v>
      </c>
      <c r="H371" s="170" t="n">
        <v>32</v>
      </c>
      <c r="I371" s="170" t="n">
        <v>2787</v>
      </c>
      <c r="J371" s="171" t="n">
        <v>7046.5</v>
      </c>
      <c r="K371" s="171" t="n">
        <v>315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南亞(1303)</t>
        </is>
      </c>
      <c r="E372" s="170" t="n">
        <v>116</v>
      </c>
      <c r="F372" s="170" t="n">
        <v>65</v>
      </c>
      <c r="G372" s="170" t="n">
        <v>2776</v>
      </c>
      <c r="H372" s="170" t="n">
        <v>1558</v>
      </c>
      <c r="I372" s="170" t="n">
        <v>1218</v>
      </c>
      <c r="J372" s="171" t="n">
        <v>239.3</v>
      </c>
      <c r="K372" s="171" t="n">
        <v>239.62</v>
      </c>
      <c r="L372" s="236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尖點(8021)</t>
        </is>
      </c>
      <c r="E373" s="170" t="n">
        <v>58</v>
      </c>
      <c r="F373" s="170" t="n">
        <v>19</v>
      </c>
      <c r="G373" s="170" t="n">
        <v>2635</v>
      </c>
      <c r="H373" s="170" t="n">
        <v>834</v>
      </c>
      <c r="I373" s="170" t="n">
        <v>1801</v>
      </c>
      <c r="J373" s="171" t="n">
        <v>454.34</v>
      </c>
      <c r="K373" s="171" t="n">
        <v>439.16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華邦電(2344)</t>
        </is>
      </c>
      <c r="E374" s="170" t="n">
        <v>142</v>
      </c>
      <c r="F374" s="170" t="n">
        <v>85</v>
      </c>
      <c r="G374" s="170" t="n">
        <v>2522</v>
      </c>
      <c r="H374" s="170" t="n">
        <v>1506</v>
      </c>
      <c r="I374" s="170" t="n">
        <v>1016</v>
      </c>
      <c r="J374" s="171" t="n">
        <v>177.63</v>
      </c>
      <c r="K374" s="171" t="n">
        <v>177.14</v>
      </c>
      <c r="L374" s="235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欣興(3037)</t>
        </is>
      </c>
      <c r="E376" s="176" t="n">
        <v>3027</v>
      </c>
      <c r="F376" s="176" t="n">
        <v>2929</v>
      </c>
      <c r="G376" s="176" t="n">
        <v>293922</v>
      </c>
      <c r="H376" s="176" t="n">
        <v>284406</v>
      </c>
      <c r="I376" s="176" t="n">
        <v>9516</v>
      </c>
      <c r="J376" s="177" t="n">
        <v>971</v>
      </c>
      <c r="K376" s="177" t="n">
        <v>971</v>
      </c>
      <c r="L376" s="236">
        <f>F376*(K376-J376)</f>
        <v/>
      </c>
    </row>
    <row r="377" ht="16.5" customHeight="1">
      <c r="A377" s="178" t="n"/>
      <c r="B377" s="178" t="n"/>
      <c r="C377" s="178" t="n"/>
      <c r="D377" s="175" t="inlineStr">
        <is>
          <t>景碩(3189)</t>
        </is>
      </c>
      <c r="E377" s="176" t="n">
        <v>217</v>
      </c>
      <c r="F377" s="176" t="n">
        <v>83</v>
      </c>
      <c r="G377" s="176" t="n">
        <v>18465</v>
      </c>
      <c r="H377" s="176" t="n">
        <v>7359</v>
      </c>
      <c r="I377" s="176" t="n">
        <v>11106</v>
      </c>
      <c r="J377" s="177" t="n">
        <v>850.92</v>
      </c>
      <c r="K377" s="177" t="n">
        <v>886.64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聯電(2303)</t>
        </is>
      </c>
      <c r="E378" s="176" t="n">
        <v>638</v>
      </c>
      <c r="F378" s="176" t="n">
        <v>91</v>
      </c>
      <c r="G378" s="176" t="n">
        <v>8473</v>
      </c>
      <c r="H378" s="176" t="n">
        <v>1198</v>
      </c>
      <c r="I378" s="176" t="n">
        <v>7275</v>
      </c>
      <c r="J378" s="177" t="n">
        <v>132.81</v>
      </c>
      <c r="K378" s="177" t="n">
        <v>131.59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台虹(8039)</t>
        </is>
      </c>
      <c r="E379" s="176" t="n">
        <v>210</v>
      </c>
      <c r="F379" s="176" t="n">
        <v>93</v>
      </c>
      <c r="G379" s="176" t="n">
        <v>6790</v>
      </c>
      <c r="H379" s="176" t="n">
        <v>3016</v>
      </c>
      <c r="I379" s="176" t="n">
        <v>3774</v>
      </c>
      <c r="J379" s="177" t="n">
        <v>323.32</v>
      </c>
      <c r="K379" s="177" t="n">
        <v>324.35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臻鼎-KY(4958)</t>
        </is>
      </c>
      <c r="E380" s="176" t="n">
        <v>122</v>
      </c>
      <c r="F380" s="176" t="n">
        <v>67</v>
      </c>
      <c r="G380" s="176" t="n">
        <v>6663</v>
      </c>
      <c r="H380" s="176" t="n">
        <v>3596</v>
      </c>
      <c r="I380" s="176" t="n">
        <v>3067</v>
      </c>
      <c r="J380" s="177" t="n">
        <v>546.15</v>
      </c>
      <c r="K380" s="177" t="n">
        <v>536.6900000000001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金居(8358)</t>
        </is>
      </c>
      <c r="E381" s="176" t="n">
        <v>64</v>
      </c>
      <c r="F381" s="176" t="n">
        <v>30</v>
      </c>
      <c r="G381" s="176" t="n">
        <v>3464</v>
      </c>
      <c r="H381" s="176" t="n">
        <v>1653</v>
      </c>
      <c r="I381" s="176" t="n">
        <v>1811</v>
      </c>
      <c r="J381" s="177" t="n">
        <v>541.28</v>
      </c>
      <c r="K381" s="177" t="n">
        <v>551.1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今國光(6209)</t>
        </is>
      </c>
      <c r="E382" s="176" t="n">
        <v>205</v>
      </c>
      <c r="F382" s="176" t="n">
        <v>7</v>
      </c>
      <c r="G382" s="176" t="n">
        <v>1676</v>
      </c>
      <c r="H382" s="176" t="n">
        <v>60</v>
      </c>
      <c r="I382" s="176" t="n">
        <v>1616</v>
      </c>
      <c r="J382" s="177" t="n">
        <v>81.75</v>
      </c>
      <c r="K382" s="177" t="n">
        <v>85.29000000000001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雍智科技(6683)</t>
        </is>
      </c>
      <c r="E383" s="176" t="n">
        <v>11</v>
      </c>
      <c r="F383" s="176" t="n">
        <v>1</v>
      </c>
      <c r="G383" s="176" t="n">
        <v>1463</v>
      </c>
      <c r="H383" s="176" t="n">
        <v>0</v>
      </c>
      <c r="I383" s="176" t="n">
        <v>1463</v>
      </c>
      <c r="J383" s="177" t="n">
        <v>1330</v>
      </c>
      <c r="K383" s="177" t="n">
        <v>1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聯友金屬-創(7610)</t>
        </is>
      </c>
      <c r="E384" s="176" t="n">
        <v>8</v>
      </c>
      <c r="F384" s="176" t="n">
        <v>2</v>
      </c>
      <c r="G384" s="176" t="n">
        <v>1244</v>
      </c>
      <c r="H384" s="176" t="n">
        <v>316</v>
      </c>
      <c r="I384" s="176" t="n">
        <v>928</v>
      </c>
      <c r="J384" s="177" t="n">
        <v>1555.62</v>
      </c>
      <c r="K384" s="177" t="n">
        <v>1577.5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竑騰(7751)</t>
        </is>
      </c>
      <c r="E385" s="176" t="n">
        <v>6</v>
      </c>
      <c r="F385" s="176" t="n">
        <v>0</v>
      </c>
      <c r="G385" s="176" t="n">
        <v>977</v>
      </c>
      <c r="H385" s="176" t="n">
        <v>0</v>
      </c>
      <c r="I385" s="176" t="n">
        <v>977</v>
      </c>
      <c r="J385" s="177" t="n">
        <v>1627.67</v>
      </c>
      <c r="K385" s="177" t="n">
        <v>0</v>
      </c>
      <c r="L385" s="236">
        <f>F385*(K385-J385)</f>
        <v/>
      </c>
    </row>
    <row r="386" ht="16.5" customHeight="1">
      <c r="A386" s="179" t="n"/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A387" s="178" t="n"/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台積電(2330)</t>
        </is>
      </c>
      <c r="E387" s="176" t="n">
        <v>87</v>
      </c>
      <c r="F387" s="176" t="n">
        <v>78</v>
      </c>
      <c r="G387" s="176" t="n">
        <v>21330</v>
      </c>
      <c r="H387" s="176" t="n">
        <v>19008</v>
      </c>
      <c r="I387" s="176" t="n">
        <v>2322</v>
      </c>
      <c r="J387" s="177" t="n">
        <v>2451.74</v>
      </c>
      <c r="K387" s="177" t="n">
        <v>2436.86</v>
      </c>
      <c r="L387" s="235">
        <f>F387*(K387-J387)</f>
        <v/>
      </c>
    </row>
    <row r="388" ht="16.5" customHeight="1">
      <c r="A388" s="178" t="n"/>
      <c r="B388" s="178" t="n"/>
      <c r="C388" s="178" t="n"/>
      <c r="D388" s="175" t="inlineStr">
        <is>
          <t>台達電(2308)</t>
        </is>
      </c>
      <c r="E388" s="176" t="n">
        <v>105</v>
      </c>
      <c r="F388" s="176" t="n">
        <v>95</v>
      </c>
      <c r="G388" s="176" t="n">
        <v>19512</v>
      </c>
      <c r="H388" s="176" t="n">
        <v>17806</v>
      </c>
      <c r="I388" s="176" t="n">
        <v>1706</v>
      </c>
      <c r="J388" s="177" t="n">
        <v>1858.24</v>
      </c>
      <c r="K388" s="177" t="n">
        <v>1874.36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雙鴻(3324)</t>
        </is>
      </c>
      <c r="E389" s="176" t="n">
        <v>112</v>
      </c>
      <c r="F389" s="176" t="n">
        <v>6</v>
      </c>
      <c r="G389" s="176" t="n">
        <v>14988</v>
      </c>
      <c r="H389" s="176" t="n">
        <v>866</v>
      </c>
      <c r="I389" s="176" t="n">
        <v>14122</v>
      </c>
      <c r="J389" s="177" t="n">
        <v>1338.26</v>
      </c>
      <c r="K389" s="177" t="n">
        <v>1444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緯穎(6669)</t>
        </is>
      </c>
      <c r="E390" s="176" t="n">
        <v>17</v>
      </c>
      <c r="F390" s="176" t="n">
        <v>3</v>
      </c>
      <c r="G390" s="176" t="n">
        <v>13532</v>
      </c>
      <c r="H390" s="176" t="n">
        <v>2404</v>
      </c>
      <c r="I390" s="176" t="n">
        <v>11128</v>
      </c>
      <c r="J390" s="177" t="n">
        <v>7959.94</v>
      </c>
      <c r="K390" s="177" t="n">
        <v>8014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欣興(3037)</t>
        </is>
      </c>
      <c r="E391" s="176" t="n">
        <v>94</v>
      </c>
      <c r="F391" s="176" t="n">
        <v>84</v>
      </c>
      <c r="G391" s="176" t="n">
        <v>9125</v>
      </c>
      <c r="H391" s="176" t="n">
        <v>8190</v>
      </c>
      <c r="I391" s="176" t="n">
        <v>935</v>
      </c>
      <c r="J391" s="177" t="n">
        <v>970.7</v>
      </c>
      <c r="K391" s="177" t="n">
        <v>975.04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南亞(1303)</t>
        </is>
      </c>
      <c r="E392" s="176" t="n">
        <v>222</v>
      </c>
      <c r="F392" s="176" t="n">
        <v>149</v>
      </c>
      <c r="G392" s="176" t="n">
        <v>5299</v>
      </c>
      <c r="H392" s="176" t="n">
        <v>3539</v>
      </c>
      <c r="I392" s="176" t="n">
        <v>1760</v>
      </c>
      <c r="J392" s="177" t="n">
        <v>238.7</v>
      </c>
      <c r="K392" s="177" t="n">
        <v>237.5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南電(8046)</t>
        </is>
      </c>
      <c r="E393" s="176" t="n">
        <v>25</v>
      </c>
      <c r="F393" s="176" t="n">
        <v>20</v>
      </c>
      <c r="G393" s="176" t="n">
        <v>3062</v>
      </c>
      <c r="H393" s="176" t="n">
        <v>2389</v>
      </c>
      <c r="I393" s="176" t="n">
        <v>673</v>
      </c>
      <c r="J393" s="177" t="n">
        <v>1224.96</v>
      </c>
      <c r="K393" s="177" t="n">
        <v>1194.4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禾伸堂(3026)</t>
        </is>
      </c>
      <c r="E394" s="176" t="n">
        <v>34</v>
      </c>
      <c r="F394" s="176" t="n">
        <v>29</v>
      </c>
      <c r="G394" s="176" t="n">
        <v>2521</v>
      </c>
      <c r="H394" s="176" t="n">
        <v>2101</v>
      </c>
      <c r="I394" s="176" t="n">
        <v>420</v>
      </c>
      <c r="J394" s="177" t="n">
        <v>741.5599999999999</v>
      </c>
      <c r="K394" s="177" t="n">
        <v>724.38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創意(3443)</t>
        </is>
      </c>
      <c r="E395" s="176" t="n">
        <v>4</v>
      </c>
      <c r="F395" s="176" t="n">
        <v>3</v>
      </c>
      <c r="G395" s="176" t="n">
        <v>2509</v>
      </c>
      <c r="H395" s="176" t="n">
        <v>1894</v>
      </c>
      <c r="I395" s="176" t="n">
        <v>615</v>
      </c>
      <c r="J395" s="177" t="n">
        <v>6273.5</v>
      </c>
      <c r="K395" s="177" t="n">
        <v>6314.33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合晶(6182)</t>
        </is>
      </c>
      <c r="E396" s="176" t="n">
        <v>220</v>
      </c>
      <c r="F396" s="176" t="n">
        <v>86</v>
      </c>
      <c r="G396" s="176" t="n">
        <v>2509</v>
      </c>
      <c r="H396" s="176" t="n">
        <v>967</v>
      </c>
      <c r="I396" s="176" t="n">
        <v>1542</v>
      </c>
      <c r="J396" s="177" t="n">
        <v>114.05</v>
      </c>
      <c r="K396" s="177" t="n">
        <v>112.41</v>
      </c>
      <c r="L396" s="235">
        <f>F396*(K396-J396)</f>
        <v/>
      </c>
    </row>
    <row r="397" ht="16.5" customHeight="1">
      <c r="A397" s="179" t="n"/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A398" s="178" t="n"/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大立光(3008)</t>
        </is>
      </c>
      <c r="E398" s="176" t="n">
        <v>6</v>
      </c>
      <c r="F398" s="176" t="n">
        <v>2</v>
      </c>
      <c r="G398" s="176" t="n">
        <v>4843</v>
      </c>
      <c r="H398" s="176" t="n">
        <v>1677</v>
      </c>
      <c r="I398" s="176" t="n">
        <v>3166</v>
      </c>
      <c r="J398" s="177" t="n">
        <v>8071.33</v>
      </c>
      <c r="K398" s="177" t="n">
        <v>8386.5</v>
      </c>
      <c r="L398" s="236">
        <f>F398*(K398-J398)</f>
        <v/>
      </c>
    </row>
    <row r="399" ht="16.5" customHeight="1">
      <c r="A399" s="178" t="n"/>
      <c r="B399" s="178" t="n"/>
      <c r="C399" s="178" t="n"/>
      <c r="D399" s="175" t="inlineStr">
        <is>
          <t>國巨*(2327)</t>
        </is>
      </c>
      <c r="E399" s="176" t="n">
        <v>59</v>
      </c>
      <c r="F399" s="176" t="n">
        <v>39</v>
      </c>
      <c r="G399" s="176" t="n">
        <v>3290</v>
      </c>
      <c r="H399" s="176" t="n">
        <v>2188</v>
      </c>
      <c r="I399" s="176" t="n">
        <v>1102</v>
      </c>
      <c r="J399" s="177" t="n">
        <v>557.61</v>
      </c>
      <c r="K399" s="177" t="n">
        <v>560.95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南電(8046)</t>
        </is>
      </c>
      <c r="E400" s="176" t="n">
        <v>26</v>
      </c>
      <c r="F400" s="176" t="n">
        <v>19</v>
      </c>
      <c r="G400" s="176" t="n">
        <v>3145</v>
      </c>
      <c r="H400" s="176" t="n">
        <v>2382</v>
      </c>
      <c r="I400" s="176" t="n">
        <v>763</v>
      </c>
      <c r="J400" s="177" t="n">
        <v>1209.69</v>
      </c>
      <c r="K400" s="177" t="n">
        <v>1253.84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南亞科(2408)</t>
        </is>
      </c>
      <c r="E401" s="176" t="n">
        <v>48</v>
      </c>
      <c r="F401" s="176" t="n">
        <v>8</v>
      </c>
      <c r="G401" s="176" t="n">
        <v>2510</v>
      </c>
      <c r="H401" s="176" t="n">
        <v>445</v>
      </c>
      <c r="I401" s="176" t="n">
        <v>2065</v>
      </c>
      <c r="J401" s="177" t="n">
        <v>522.85</v>
      </c>
      <c r="K401" s="177" t="n">
        <v>555.88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華邦電(2344)</t>
        </is>
      </c>
      <c r="E402" s="176" t="n">
        <v>135</v>
      </c>
      <c r="F402" s="176" t="n">
        <v>42</v>
      </c>
      <c r="G402" s="176" t="n">
        <v>2406</v>
      </c>
      <c r="H402" s="176" t="n">
        <v>743</v>
      </c>
      <c r="I402" s="176" t="n">
        <v>1663</v>
      </c>
      <c r="J402" s="177" t="n">
        <v>178.23</v>
      </c>
      <c r="K402" s="177" t="n">
        <v>176.86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南亞(1303)</t>
        </is>
      </c>
      <c r="E403" s="176" t="n">
        <v>94</v>
      </c>
      <c r="F403" s="176" t="n">
        <v>52</v>
      </c>
      <c r="G403" s="176" t="n">
        <v>2258</v>
      </c>
      <c r="H403" s="176" t="n">
        <v>1246</v>
      </c>
      <c r="I403" s="176" t="n">
        <v>1012</v>
      </c>
      <c r="J403" s="177" t="n">
        <v>240.21</v>
      </c>
      <c r="K403" s="177" t="n">
        <v>239.71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聯鈞(3450)</t>
        </is>
      </c>
      <c r="E404" s="176" t="n">
        <v>26</v>
      </c>
      <c r="F404" s="176" t="n">
        <v>15</v>
      </c>
      <c r="G404" s="176" t="n">
        <v>1606</v>
      </c>
      <c r="H404" s="176" t="n">
        <v>949</v>
      </c>
      <c r="I404" s="176" t="n">
        <v>657</v>
      </c>
      <c r="J404" s="177" t="n">
        <v>617.6900000000001</v>
      </c>
      <c r="K404" s="177" t="n">
        <v>632.73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金居(8358)</t>
        </is>
      </c>
      <c r="E405" s="176" t="n">
        <v>28</v>
      </c>
      <c r="F405" s="176" t="n">
        <v>20</v>
      </c>
      <c r="G405" s="176" t="n">
        <v>1496</v>
      </c>
      <c r="H405" s="176" t="n">
        <v>1029</v>
      </c>
      <c r="I405" s="176" t="n">
        <v>467</v>
      </c>
      <c r="J405" s="177" t="n">
        <v>534.3200000000001</v>
      </c>
      <c r="K405" s="177" t="n">
        <v>514.3</v>
      </c>
      <c r="L405" s="235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台光電(2383)</t>
        </is>
      </c>
      <c r="E406" s="176" t="n">
        <v>2</v>
      </c>
      <c r="F406" s="176" t="n">
        <v>1</v>
      </c>
      <c r="G406" s="176" t="n">
        <v>1142</v>
      </c>
      <c r="H406" s="176" t="n">
        <v>589</v>
      </c>
      <c r="I406" s="176" t="n">
        <v>553</v>
      </c>
      <c r="J406" s="177" t="n">
        <v>5709</v>
      </c>
      <c r="K406" s="177" t="n">
        <v>5893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力積電(6770)</t>
        </is>
      </c>
      <c r="E407" s="176" t="n">
        <v>112</v>
      </c>
      <c r="F407" s="176" t="n">
        <v>54</v>
      </c>
      <c r="G407" s="176" t="n">
        <v>800</v>
      </c>
      <c r="H407" s="176" t="n">
        <v>386</v>
      </c>
      <c r="I407" s="176" t="n">
        <v>414</v>
      </c>
      <c r="J407" s="177" t="n">
        <v>71.45</v>
      </c>
      <c r="K407" s="177" t="n">
        <v>71.41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穩懋(3105)</t>
        </is>
      </c>
      <c r="E409" s="183" t="n">
        <v>1120</v>
      </c>
      <c r="F409" s="183" t="n">
        <v>110</v>
      </c>
      <c r="G409" s="183" t="n">
        <v>54898</v>
      </c>
      <c r="H409" s="183" t="n">
        <v>5255</v>
      </c>
      <c r="I409" s="183" t="n">
        <v>49643</v>
      </c>
      <c r="J409" s="184" t="n">
        <v>490.16</v>
      </c>
      <c r="K409" s="184" t="n">
        <v>477.75</v>
      </c>
      <c r="L409" s="235">
        <f>F409*(K409-J409)</f>
        <v/>
      </c>
    </row>
    <row r="410" ht="16.5" customHeight="1">
      <c r="A410" s="185" t="n"/>
      <c r="B410" s="185" t="n"/>
      <c r="C410" s="185" t="n"/>
      <c r="D410" s="182" t="inlineStr">
        <is>
          <t>緯穎(6669)</t>
        </is>
      </c>
      <c r="E410" s="183" t="n">
        <v>65</v>
      </c>
      <c r="F410" s="183" t="n">
        <v>11</v>
      </c>
      <c r="G410" s="183" t="n">
        <v>49884</v>
      </c>
      <c r="H410" s="183" t="n">
        <v>8681</v>
      </c>
      <c r="I410" s="183" t="n">
        <v>41203</v>
      </c>
      <c r="J410" s="184" t="n">
        <v>7674.49</v>
      </c>
      <c r="K410" s="184" t="n">
        <v>7891.82</v>
      </c>
      <c r="L410" s="236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聯發科(2454)</t>
        </is>
      </c>
      <c r="E411" s="183" t="n">
        <v>105</v>
      </c>
      <c r="F411" s="183" t="n">
        <v>3</v>
      </c>
      <c r="G411" s="183" t="n">
        <v>45388</v>
      </c>
      <c r="H411" s="183" t="n">
        <v>1194</v>
      </c>
      <c r="I411" s="183" t="n">
        <v>44194</v>
      </c>
      <c r="J411" s="184" t="n">
        <v>4322.65</v>
      </c>
      <c r="K411" s="184" t="n">
        <v>3981.33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6" t="inlineStr">
        <is>
          <t>定穎投控(3715)</t>
        </is>
      </c>
      <c r="E412" s="187" t="n">
        <v>2175</v>
      </c>
      <c r="F412" s="187" t="n">
        <v>301</v>
      </c>
      <c r="G412" s="187" t="n">
        <v>28809</v>
      </c>
      <c r="H412" s="187" t="n">
        <v>3981</v>
      </c>
      <c r="I412" s="187" t="n">
        <v>24828</v>
      </c>
      <c r="J412" s="188" t="n">
        <v>132.45</v>
      </c>
      <c r="K412" s="188" t="n">
        <v>132.26</v>
      </c>
      <c r="L412" s="237">
        <f>F412*(K412-J412)</f>
        <v/>
      </c>
    </row>
    <row r="413" ht="16.5" customHeight="1">
      <c r="A413" s="185" t="n"/>
      <c r="B413" s="185" t="n"/>
      <c r="C413" s="185" t="n"/>
      <c r="D413" s="186" t="inlineStr">
        <is>
          <t>和桐(1714)</t>
        </is>
      </c>
      <c r="E413" s="187" t="n">
        <v>11101</v>
      </c>
      <c r="F413" s="187" t="n">
        <v>3418</v>
      </c>
      <c r="G413" s="187" t="n">
        <v>20592</v>
      </c>
      <c r="H413" s="187" t="n">
        <v>6341</v>
      </c>
      <c r="I413" s="187" t="n">
        <v>14251</v>
      </c>
      <c r="J413" s="188" t="n">
        <v>18.55</v>
      </c>
      <c r="K413" s="188" t="n">
        <v>18.55</v>
      </c>
      <c r="L413" s="238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鼎元(2426)</t>
        </is>
      </c>
      <c r="E414" s="183" t="n">
        <v>1623</v>
      </c>
      <c r="F414" s="183" t="n">
        <v>43</v>
      </c>
      <c r="G414" s="183" t="n">
        <v>17426</v>
      </c>
      <c r="H414" s="183" t="n">
        <v>436</v>
      </c>
      <c r="I414" s="183" t="n">
        <v>16990</v>
      </c>
      <c r="J414" s="184" t="n">
        <v>107.37</v>
      </c>
      <c r="K414" s="184" t="n">
        <v>101.33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立��(8111)</t>
        </is>
      </c>
      <c r="E415" s="183" t="n">
        <v>996</v>
      </c>
      <c r="F415" s="183" t="n">
        <v>64</v>
      </c>
      <c r="G415" s="183" t="n">
        <v>7506</v>
      </c>
      <c r="H415" s="183" t="n">
        <v>461</v>
      </c>
      <c r="I415" s="183" t="n">
        <v>7045</v>
      </c>
      <c r="J415" s="184" t="n">
        <v>75.36</v>
      </c>
      <c r="K415" s="184" t="n">
        <v>72.09</v>
      </c>
      <c r="L415" s="235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雙鴻(3324)</t>
        </is>
      </c>
      <c r="E416" s="183" t="n">
        <v>50</v>
      </c>
      <c r="F416" s="183" t="n">
        <v>2</v>
      </c>
      <c r="G416" s="183" t="n">
        <v>6807</v>
      </c>
      <c r="H416" s="183" t="n">
        <v>315</v>
      </c>
      <c r="I416" s="183" t="n">
        <v>6492</v>
      </c>
      <c r="J416" s="184" t="n">
        <v>1361.36</v>
      </c>
      <c r="K416" s="184" t="n">
        <v>1576</v>
      </c>
      <c r="L416" s="236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晶宏(3141)</t>
        </is>
      </c>
      <c r="E417" s="183" t="n">
        <v>196</v>
      </c>
      <c r="F417" s="183" t="n">
        <v>123</v>
      </c>
      <c r="G417" s="183" t="n">
        <v>1770</v>
      </c>
      <c r="H417" s="183" t="n">
        <v>1113</v>
      </c>
      <c r="I417" s="183" t="n">
        <v>657</v>
      </c>
      <c r="J417" s="184" t="n">
        <v>90.28</v>
      </c>
      <c r="K417" s="184" t="n">
        <v>90.5</v>
      </c>
      <c r="L417" s="236">
        <f>F417*(K417-J417)</f>
        <v/>
      </c>
    </row>
    <row r="418" ht="16.5" customHeight="1">
      <c r="A418" s="185" t="n"/>
      <c r="B418" s="185" t="n"/>
      <c r="C418" s="185" t="n"/>
      <c r="D418" s="186" t="inlineStr">
        <is>
          <t>亞信(3169)</t>
        </is>
      </c>
      <c r="E418" s="187" t="n">
        <v>141</v>
      </c>
      <c r="F418" s="187" t="n">
        <v>0</v>
      </c>
      <c r="G418" s="187" t="n">
        <v>1558</v>
      </c>
      <c r="H418" s="187" t="n">
        <v>0</v>
      </c>
      <c r="I418" s="187" t="n">
        <v>1558</v>
      </c>
      <c r="J418" s="188" t="n">
        <v>110.5</v>
      </c>
      <c r="K418" s="188" t="n">
        <v>0</v>
      </c>
      <c r="L418" s="238">
        <f>F418*(K418-J418)</f>
        <v/>
      </c>
    </row>
    <row r="419" ht="16.5" customHeight="1">
      <c r="A419" s="191" t="n"/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A420" s="185" t="n"/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穎崴(6515)</t>
        </is>
      </c>
      <c r="E420" s="183" t="n">
        <v>4</v>
      </c>
      <c r="F420" s="183" t="n">
        <v>2</v>
      </c>
      <c r="G420" s="183" t="n">
        <v>2699</v>
      </c>
      <c r="H420" s="183" t="n">
        <v>1364</v>
      </c>
      <c r="I420" s="183" t="n">
        <v>1335</v>
      </c>
      <c r="J420" s="184" t="n">
        <v>6747</v>
      </c>
      <c r="K420" s="184" t="n">
        <v>6820</v>
      </c>
      <c r="L420" s="236">
        <f>F420*(K420-J420)</f>
        <v/>
      </c>
    </row>
    <row r="421" ht="16.5" customHeight="1">
      <c r="A421" s="185" t="n"/>
      <c r="B421" s="185" t="n"/>
      <c r="C421" s="185" t="n"/>
      <c r="D421" s="182" t="inlineStr">
        <is>
          <t>精測(6510)</t>
        </is>
      </c>
      <c r="E421" s="183" t="n">
        <v>6</v>
      </c>
      <c r="F421" s="183" t="n">
        <v>1</v>
      </c>
      <c r="G421" s="183" t="n">
        <v>1811</v>
      </c>
      <c r="H421" s="183" t="n">
        <v>396</v>
      </c>
      <c r="I421" s="183" t="n">
        <v>1415</v>
      </c>
      <c r="J421" s="184" t="n">
        <v>3018.33</v>
      </c>
      <c r="K421" s="184" t="n">
        <v>3965</v>
      </c>
      <c r="L421" s="236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家登(3680)</t>
        </is>
      </c>
      <c r="E422" s="183" t="n">
        <v>30</v>
      </c>
      <c r="F422" s="183" t="n">
        <v>1</v>
      </c>
      <c r="G422" s="183" t="n">
        <v>1626</v>
      </c>
      <c r="H422" s="183" t="n">
        <v>32</v>
      </c>
      <c r="I422" s="183" t="n">
        <v>1594</v>
      </c>
      <c r="J422" s="184" t="n">
        <v>542</v>
      </c>
      <c r="K422" s="184" t="n">
        <v>318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中探針(6217)</t>
        </is>
      </c>
      <c r="E423" s="183" t="n">
        <v>82</v>
      </c>
      <c r="F423" s="183" t="n">
        <v>5</v>
      </c>
      <c r="G423" s="183" t="n">
        <v>1551</v>
      </c>
      <c r="H423" s="183" t="n">
        <v>98</v>
      </c>
      <c r="I423" s="183" t="n">
        <v>1453</v>
      </c>
      <c r="J423" s="184" t="n">
        <v>189.17</v>
      </c>
      <c r="K423" s="184" t="n">
        <v>195.6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立��(8111)</t>
        </is>
      </c>
      <c r="E424" s="183" t="n">
        <v>160</v>
      </c>
      <c r="F424" s="183" t="n">
        <v>25</v>
      </c>
      <c r="G424" s="183" t="n">
        <v>1194</v>
      </c>
      <c r="H424" s="183" t="n">
        <v>185</v>
      </c>
      <c r="I424" s="183" t="n">
        <v>1009</v>
      </c>
      <c r="J424" s="184" t="n">
        <v>74.62</v>
      </c>
      <c r="K424" s="184" t="n">
        <v>74.04000000000001</v>
      </c>
      <c r="L424" s="235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緯穎(6669)</t>
        </is>
      </c>
      <c r="E425" s="183" t="n">
        <v>1</v>
      </c>
      <c r="F425" s="183" t="n">
        <v>1</v>
      </c>
      <c r="G425" s="183" t="n">
        <v>1081</v>
      </c>
      <c r="H425" s="183" t="n">
        <v>375</v>
      </c>
      <c r="I425" s="183" t="n">
        <v>706</v>
      </c>
      <c r="J425" s="184" t="n">
        <v>10814</v>
      </c>
      <c r="K425" s="184" t="n">
        <v>3754</v>
      </c>
      <c r="L425" s="235">
        <f>F425*(K425-J425)</f>
        <v/>
      </c>
    </row>
    <row r="426" ht="16.5" customHeight="1">
      <c r="A426" s="185" t="n"/>
      <c r="B426" s="185" t="n"/>
      <c r="C426" s="185" t="n"/>
      <c r="D426" s="182" t="inlineStr">
        <is>
          <t>鼎元(2426)</t>
        </is>
      </c>
      <c r="E426" s="183" t="n">
        <v>95</v>
      </c>
      <c r="F426" s="183" t="n">
        <v>31</v>
      </c>
      <c r="G426" s="183" t="n">
        <v>947</v>
      </c>
      <c r="H426" s="183" t="n">
        <v>318</v>
      </c>
      <c r="I426" s="183" t="n">
        <v>629</v>
      </c>
      <c r="J426" s="184" t="n">
        <v>99.69</v>
      </c>
      <c r="K426" s="184" t="n">
        <v>102.71</v>
      </c>
      <c r="L426" s="236">
        <f>F426*(K426-J426)</f>
        <v/>
      </c>
    </row>
    <row r="427" ht="16.5" customHeight="1">
      <c r="A427" s="185" t="n"/>
      <c r="B427" s="185" t="n"/>
      <c r="C427" s="185" t="n"/>
      <c r="D427" s="192" t="inlineStr">
        <is>
          <t>⚪ 今日漲停僅 7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91" t="n"/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A431" s="185" t="n"/>
      <c r="B431" s="181" t="inlineStr">
        <is>
          <t>永豐金-南京</t>
        </is>
      </c>
      <c r="C431" s="181" t="inlineStr">
        <is>
          <t>9A9S</t>
        </is>
      </c>
      <c r="D431" s="182" t="inlineStr">
        <is>
          <t>全新(2455)</t>
        </is>
      </c>
      <c r="E431" s="183" t="n">
        <v>90</v>
      </c>
      <c r="F431" s="183" t="n">
        <v>30</v>
      </c>
      <c r="G431" s="183" t="n">
        <v>4519</v>
      </c>
      <c r="H431" s="183" t="n">
        <v>1527</v>
      </c>
      <c r="I431" s="183" t="n">
        <v>2992</v>
      </c>
      <c r="J431" s="184" t="n">
        <v>502.11</v>
      </c>
      <c r="K431" s="184" t="n">
        <v>508.9</v>
      </c>
      <c r="L431" s="236">
        <f>F431*(K431-J431)</f>
        <v/>
      </c>
    </row>
    <row r="432" ht="16.5" customHeight="1">
      <c r="A432" s="185" t="n"/>
      <c r="B432" s="185" t="n"/>
      <c r="C432" s="185" t="n"/>
      <c r="D432" s="182" t="inlineStr">
        <is>
          <t>精測(6510)</t>
        </is>
      </c>
      <c r="E432" s="183" t="n">
        <v>3</v>
      </c>
      <c r="F432" s="183" t="n">
        <v>2</v>
      </c>
      <c r="G432" s="183" t="n">
        <v>916</v>
      </c>
      <c r="H432" s="183" t="n">
        <v>588</v>
      </c>
      <c r="I432" s="183" t="n">
        <v>328</v>
      </c>
      <c r="J432" s="184" t="n">
        <v>3051.67</v>
      </c>
      <c r="K432" s="184" t="n">
        <v>2939.5</v>
      </c>
      <c r="L432" s="235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2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大立光(3008)</t>
        </is>
      </c>
      <c r="E442" s="197" t="n">
        <v>12</v>
      </c>
      <c r="F442" s="197" t="n">
        <v>9</v>
      </c>
      <c r="G442" s="197" t="n">
        <v>9041</v>
      </c>
      <c r="H442" s="197" t="n">
        <v>6687</v>
      </c>
      <c r="I442" s="197" t="n">
        <v>2354</v>
      </c>
      <c r="J442" s="198" t="n">
        <v>7534.08</v>
      </c>
      <c r="K442" s="198" t="n">
        <v>7430.22</v>
      </c>
      <c r="L442" s="235">
        <f>F442*(K442-J442)</f>
        <v/>
      </c>
    </row>
    <row r="443" ht="16.5" customHeight="1">
      <c r="A443" s="199" t="n"/>
      <c r="B443" s="199" t="n"/>
      <c r="C443" s="199" t="n"/>
      <c r="D443" s="196" t="inlineStr">
        <is>
          <t>穩懋(3105)</t>
        </is>
      </c>
      <c r="E443" s="197" t="n">
        <v>173</v>
      </c>
      <c r="F443" s="197" t="n">
        <v>133</v>
      </c>
      <c r="G443" s="197" t="n">
        <v>8529</v>
      </c>
      <c r="H443" s="197" t="n">
        <v>6553</v>
      </c>
      <c r="I443" s="197" t="n">
        <v>1976</v>
      </c>
      <c r="J443" s="198" t="n">
        <v>493</v>
      </c>
      <c r="K443" s="198" t="n">
        <v>492.71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玉晶光(3406)</t>
        </is>
      </c>
      <c r="E444" s="197" t="n">
        <v>74</v>
      </c>
      <c r="F444" s="197" t="n">
        <v>15</v>
      </c>
      <c r="G444" s="197" t="n">
        <v>7773</v>
      </c>
      <c r="H444" s="197" t="n">
        <v>1570</v>
      </c>
      <c r="I444" s="197" t="n">
        <v>6203</v>
      </c>
      <c r="J444" s="198" t="n">
        <v>1050.42</v>
      </c>
      <c r="K444" s="198" t="n">
        <v>1046.4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南亞科(2408)</t>
        </is>
      </c>
      <c r="E445" s="197" t="n">
        <v>126</v>
      </c>
      <c r="F445" s="197" t="n">
        <v>78</v>
      </c>
      <c r="G445" s="197" t="n">
        <v>6637</v>
      </c>
      <c r="H445" s="197" t="n">
        <v>4080</v>
      </c>
      <c r="I445" s="197" t="n">
        <v>2557</v>
      </c>
      <c r="J445" s="198" t="n">
        <v>526.74</v>
      </c>
      <c r="K445" s="198" t="n">
        <v>523.03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華邦電(2344)</t>
        </is>
      </c>
      <c r="E446" s="197" t="n">
        <v>354</v>
      </c>
      <c r="F446" s="197" t="n">
        <v>233</v>
      </c>
      <c r="G446" s="197" t="n">
        <v>6325</v>
      </c>
      <c r="H446" s="197" t="n">
        <v>4113</v>
      </c>
      <c r="I446" s="197" t="n">
        <v>2212</v>
      </c>
      <c r="J446" s="198" t="n">
        <v>178.67</v>
      </c>
      <c r="K446" s="198" t="n">
        <v>176.54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金居(8358)</t>
        </is>
      </c>
      <c r="E447" s="197" t="n">
        <v>69</v>
      </c>
      <c r="F447" s="197" t="n">
        <v>35</v>
      </c>
      <c r="G447" s="197" t="n">
        <v>3615</v>
      </c>
      <c r="H447" s="197" t="n">
        <v>1830</v>
      </c>
      <c r="I447" s="197" t="n">
        <v>1785</v>
      </c>
      <c r="J447" s="198" t="n">
        <v>523.9299999999999</v>
      </c>
      <c r="K447" s="198" t="n">
        <v>522.86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鈦昇(8027)</t>
        </is>
      </c>
      <c r="E448" s="197" t="n">
        <v>184</v>
      </c>
      <c r="F448" s="197" t="n">
        <v>8</v>
      </c>
      <c r="G448" s="197" t="n">
        <v>3510</v>
      </c>
      <c r="H448" s="197" t="n">
        <v>151</v>
      </c>
      <c r="I448" s="197" t="n">
        <v>3359</v>
      </c>
      <c r="J448" s="198" t="n">
        <v>190.75</v>
      </c>
      <c r="K448" s="198" t="n">
        <v>188.5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致茂(2360)</t>
        </is>
      </c>
      <c r="E449" s="197" t="n">
        <v>16</v>
      </c>
      <c r="F449" s="197" t="n">
        <v>1</v>
      </c>
      <c r="G449" s="197" t="n">
        <v>3296</v>
      </c>
      <c r="H449" s="197" t="n">
        <v>10</v>
      </c>
      <c r="I449" s="197" t="n">
        <v>3286</v>
      </c>
      <c r="J449" s="198" t="n">
        <v>2059.69</v>
      </c>
      <c r="K449" s="198" t="n">
        <v>102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聯電(2303)</t>
        </is>
      </c>
      <c r="E450" s="197" t="n">
        <v>232</v>
      </c>
      <c r="F450" s="197" t="n">
        <v>135</v>
      </c>
      <c r="G450" s="197" t="n">
        <v>3100</v>
      </c>
      <c r="H450" s="197" t="n">
        <v>1799</v>
      </c>
      <c r="I450" s="197" t="n">
        <v>1301</v>
      </c>
      <c r="J450" s="198" t="n">
        <v>133.62</v>
      </c>
      <c r="K450" s="198" t="n">
        <v>133.28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聯亞(3081)</t>
        </is>
      </c>
      <c r="E451" s="197" t="n">
        <v>9</v>
      </c>
      <c r="F451" s="197" t="n">
        <v>3</v>
      </c>
      <c r="G451" s="197" t="n">
        <v>2926</v>
      </c>
      <c r="H451" s="197" t="n">
        <v>1039</v>
      </c>
      <c r="I451" s="197" t="n">
        <v>1887</v>
      </c>
      <c r="J451" s="198" t="n">
        <v>3250.89</v>
      </c>
      <c r="K451" s="198" t="n">
        <v>3462.67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群聯(8299)</t>
        </is>
      </c>
      <c r="E452" s="197" t="n">
        <v>11</v>
      </c>
      <c r="F452" s="197" t="n">
        <v>6</v>
      </c>
      <c r="G452" s="197" t="n">
        <v>2298</v>
      </c>
      <c r="H452" s="197" t="n">
        <v>1180</v>
      </c>
      <c r="I452" s="197" t="n">
        <v>1118</v>
      </c>
      <c r="J452" s="198" t="n">
        <v>2089.36</v>
      </c>
      <c r="K452" s="198" t="n">
        <v>1965.83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台光電(2383)</t>
        </is>
      </c>
      <c r="E453" s="197" t="n">
        <v>3</v>
      </c>
      <c r="F453" s="197" t="n">
        <v>2</v>
      </c>
      <c r="G453" s="197" t="n">
        <v>1868</v>
      </c>
      <c r="H453" s="197" t="n">
        <v>1229</v>
      </c>
      <c r="I453" s="197" t="n">
        <v>639</v>
      </c>
      <c r="J453" s="198" t="n">
        <v>6226.33</v>
      </c>
      <c r="K453" s="198" t="n">
        <v>6143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金像電(2368)</t>
        </is>
      </c>
      <c r="E454" s="197" t="n">
        <v>15</v>
      </c>
      <c r="F454" s="197" t="n">
        <v>10</v>
      </c>
      <c r="G454" s="197" t="n">
        <v>1831</v>
      </c>
      <c r="H454" s="197" t="n">
        <v>1272</v>
      </c>
      <c r="I454" s="197" t="n">
        <v>559</v>
      </c>
      <c r="J454" s="198" t="n">
        <v>1220.73</v>
      </c>
      <c r="K454" s="198" t="n">
        <v>1272.3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新盛力(4931)</t>
        </is>
      </c>
      <c r="E455" s="197" t="n">
        <v>67</v>
      </c>
      <c r="F455" s="197" t="n">
        <v>12</v>
      </c>
      <c r="G455" s="197" t="n">
        <v>1748</v>
      </c>
      <c r="H455" s="197" t="n">
        <v>313</v>
      </c>
      <c r="I455" s="197" t="n">
        <v>1435</v>
      </c>
      <c r="J455" s="198" t="n">
        <v>260.97</v>
      </c>
      <c r="K455" s="198" t="n">
        <v>260.58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信驊(5274)</t>
        </is>
      </c>
      <c r="E456" s="197" t="n">
        <v>1</v>
      </c>
      <c r="F456" s="197" t="n">
        <v>1</v>
      </c>
      <c r="G456" s="197" t="n">
        <v>1740</v>
      </c>
      <c r="H456" s="197" t="n">
        <v>116</v>
      </c>
      <c r="I456" s="197" t="n">
        <v>1624</v>
      </c>
      <c r="J456" s="198" t="n">
        <v>17399</v>
      </c>
      <c r="K456" s="198" t="n">
        <v>1163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大量(3167)</t>
        </is>
      </c>
      <c r="E457" s="197" t="n">
        <v>21</v>
      </c>
      <c r="F457" s="197" t="n">
        <v>12</v>
      </c>
      <c r="G457" s="197" t="n">
        <v>1648</v>
      </c>
      <c r="H457" s="197" t="n">
        <v>928</v>
      </c>
      <c r="I457" s="197" t="n">
        <v>720</v>
      </c>
      <c r="J457" s="198" t="n">
        <v>784.95</v>
      </c>
      <c r="K457" s="198" t="n">
        <v>773</v>
      </c>
      <c r="L457" s="235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力積電(6770)</t>
        </is>
      </c>
      <c r="E458" s="197" t="n">
        <v>205</v>
      </c>
      <c r="F458" s="197" t="n">
        <v>112</v>
      </c>
      <c r="G458" s="197" t="n">
        <v>1467</v>
      </c>
      <c r="H458" s="197" t="n">
        <v>802</v>
      </c>
      <c r="I458" s="197" t="n">
        <v>665</v>
      </c>
      <c r="J458" s="198" t="n">
        <v>71.54000000000001</v>
      </c>
      <c r="K458" s="198" t="n">
        <v>71.59999999999999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順德(2351)</t>
        </is>
      </c>
      <c r="E459" s="197" t="n">
        <v>59</v>
      </c>
      <c r="F459" s="197" t="n">
        <v>34</v>
      </c>
      <c r="G459" s="197" t="n">
        <v>1329</v>
      </c>
      <c r="H459" s="197" t="n">
        <v>765</v>
      </c>
      <c r="I459" s="197" t="n">
        <v>564</v>
      </c>
      <c r="J459" s="198" t="n">
        <v>225.22</v>
      </c>
      <c r="K459" s="198" t="n">
        <v>224.94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愛普*(6531)</t>
        </is>
      </c>
      <c r="E460" s="197" t="n">
        <v>13</v>
      </c>
      <c r="F460" s="197" t="n">
        <v>8</v>
      </c>
      <c r="G460" s="197" t="n">
        <v>1289</v>
      </c>
      <c r="H460" s="197" t="n">
        <v>810</v>
      </c>
      <c r="I460" s="197" t="n">
        <v>479</v>
      </c>
      <c r="J460" s="198" t="n">
        <v>991.38</v>
      </c>
      <c r="K460" s="198" t="n">
        <v>1013.12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晶豪科(3006)</t>
        </is>
      </c>
      <c r="E461" s="197" t="n">
        <v>41</v>
      </c>
      <c r="F461" s="197" t="n">
        <v>13</v>
      </c>
      <c r="G461" s="197" t="n">
        <v>1135</v>
      </c>
      <c r="H461" s="197" t="n">
        <v>354</v>
      </c>
      <c r="I461" s="197" t="n">
        <v>781</v>
      </c>
      <c r="J461" s="198" t="n">
        <v>276.83</v>
      </c>
      <c r="K461" s="198" t="n">
        <v>272.38</v>
      </c>
      <c r="L461" s="235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南亞科(2408)</t>
        </is>
      </c>
      <c r="E463" s="203" t="n">
        <v>84</v>
      </c>
      <c r="F463" s="203" t="n">
        <v>21</v>
      </c>
      <c r="G463" s="203" t="n">
        <v>4420</v>
      </c>
      <c r="H463" s="203" t="n">
        <v>1073</v>
      </c>
      <c r="I463" s="203" t="n">
        <v>3347</v>
      </c>
      <c r="J463" s="204" t="n">
        <v>526.2</v>
      </c>
      <c r="K463" s="204" t="n">
        <v>511.1</v>
      </c>
      <c r="L463" s="235">
        <f>F463*(K463-J463)</f>
        <v/>
      </c>
    </row>
    <row r="464" ht="16.5" customHeight="1">
      <c r="A464" s="205" t="n"/>
      <c r="B464" s="205" t="n"/>
      <c r="C464" s="205" t="n"/>
      <c r="D464" s="202" t="inlineStr">
        <is>
          <t>和益(1709)</t>
        </is>
      </c>
      <c r="E464" s="203" t="n">
        <v>1208</v>
      </c>
      <c r="F464" s="203" t="n">
        <v>634</v>
      </c>
      <c r="G464" s="203" t="n">
        <v>4237</v>
      </c>
      <c r="H464" s="203" t="n">
        <v>2329</v>
      </c>
      <c r="I464" s="203" t="n">
        <v>1908</v>
      </c>
      <c r="J464" s="204" t="n">
        <v>35.08</v>
      </c>
      <c r="K464" s="204" t="n">
        <v>36.74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元太(8069)</t>
        </is>
      </c>
      <c r="E465" s="203" t="n">
        <v>178</v>
      </c>
      <c r="F465" s="203" t="n">
        <v>1</v>
      </c>
      <c r="G465" s="203" t="n">
        <v>2819</v>
      </c>
      <c r="H465" s="203" t="n">
        <v>1</v>
      </c>
      <c r="I465" s="203" t="n">
        <v>2818</v>
      </c>
      <c r="J465" s="204" t="n">
        <v>158.38</v>
      </c>
      <c r="K465" s="204" t="n">
        <v>10</v>
      </c>
      <c r="L465" s="235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南亞(1303)</t>
        </is>
      </c>
      <c r="E466" s="203" t="n">
        <v>117</v>
      </c>
      <c r="F466" s="203" t="n">
        <v>60</v>
      </c>
      <c r="G466" s="203" t="n">
        <v>2787</v>
      </c>
      <c r="H466" s="203" t="n">
        <v>1420</v>
      </c>
      <c r="I466" s="203" t="n">
        <v>1367</v>
      </c>
      <c r="J466" s="204" t="n">
        <v>238.21</v>
      </c>
      <c r="K466" s="204" t="n">
        <v>236.7</v>
      </c>
      <c r="L466" s="235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力積電(6770)</t>
        </is>
      </c>
      <c r="E467" s="203" t="n">
        <v>295</v>
      </c>
      <c r="F467" s="203" t="n">
        <v>44</v>
      </c>
      <c r="G467" s="203" t="n">
        <v>2105</v>
      </c>
      <c r="H467" s="203" t="n">
        <v>314</v>
      </c>
      <c r="I467" s="203" t="n">
        <v>1791</v>
      </c>
      <c r="J467" s="204" t="n">
        <v>71.36</v>
      </c>
      <c r="K467" s="204" t="n">
        <v>71.27</v>
      </c>
      <c r="L467" s="235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華邦電(2344)</t>
        </is>
      </c>
      <c r="E468" s="203" t="n">
        <v>105</v>
      </c>
      <c r="F468" s="203" t="n">
        <v>45</v>
      </c>
      <c r="G468" s="203" t="n">
        <v>1855</v>
      </c>
      <c r="H468" s="203" t="n">
        <v>797</v>
      </c>
      <c r="I468" s="203" t="n">
        <v>1058</v>
      </c>
      <c r="J468" s="204" t="n">
        <v>176.65</v>
      </c>
      <c r="K468" s="204" t="n">
        <v>177.11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晶心科(6533)</t>
        </is>
      </c>
      <c r="E469" s="203" t="n">
        <v>60</v>
      </c>
      <c r="F469" s="203" t="n">
        <v>4</v>
      </c>
      <c r="G469" s="203" t="n">
        <v>1642</v>
      </c>
      <c r="H469" s="203" t="n">
        <v>111</v>
      </c>
      <c r="I469" s="203" t="n">
        <v>1531</v>
      </c>
      <c r="J469" s="204" t="n">
        <v>273.58</v>
      </c>
      <c r="K469" s="204" t="n">
        <v>277.5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尖點(8021)</t>
        </is>
      </c>
      <c r="E470" s="203" t="n">
        <v>36</v>
      </c>
      <c r="F470" s="203" t="n">
        <v>8</v>
      </c>
      <c r="G470" s="203" t="n">
        <v>1584</v>
      </c>
      <c r="H470" s="203" t="n">
        <v>339</v>
      </c>
      <c r="I470" s="203" t="n">
        <v>1245</v>
      </c>
      <c r="J470" s="204" t="n">
        <v>439.94</v>
      </c>
      <c r="K470" s="204" t="n">
        <v>423.88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華通(2313)</t>
        </is>
      </c>
      <c r="E471" s="203" t="n">
        <v>50</v>
      </c>
      <c r="F471" s="203" t="n">
        <v>44</v>
      </c>
      <c r="G471" s="203" t="n">
        <v>1254</v>
      </c>
      <c r="H471" s="203" t="n">
        <v>1103</v>
      </c>
      <c r="I471" s="203" t="n">
        <v>151</v>
      </c>
      <c r="J471" s="204" t="n">
        <v>250.76</v>
      </c>
      <c r="K471" s="204" t="n">
        <v>250.66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禾伸堂(3026)</t>
        </is>
      </c>
      <c r="E472" s="203" t="n">
        <v>14</v>
      </c>
      <c r="F472" s="203" t="n">
        <v>6</v>
      </c>
      <c r="G472" s="203" t="n">
        <v>1004</v>
      </c>
      <c r="H472" s="203" t="n">
        <v>438</v>
      </c>
      <c r="I472" s="203" t="n">
        <v>566</v>
      </c>
      <c r="J472" s="204" t="n">
        <v>717.29</v>
      </c>
      <c r="K472" s="204" t="n">
        <v>730</v>
      </c>
      <c r="L472" s="236">
        <f>F472*(K472-J472)</f>
        <v/>
      </c>
    </row>
    <row r="473" ht="16.5" customHeight="1">
      <c r="A473" s="206" t="n"/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A474" s="205" t="n"/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創意(3443)</t>
        </is>
      </c>
      <c r="E474" s="203" t="n">
        <v>46</v>
      </c>
      <c r="F474" s="203" t="n">
        <v>3</v>
      </c>
      <c r="G474" s="203" t="n">
        <v>27554</v>
      </c>
      <c r="H474" s="203" t="n">
        <v>1592</v>
      </c>
      <c r="I474" s="203" t="n">
        <v>25962</v>
      </c>
      <c r="J474" s="204" t="n">
        <v>5990.09</v>
      </c>
      <c r="K474" s="204" t="n">
        <v>5305.33</v>
      </c>
      <c r="L474" s="235">
        <f>F474*(K474-J474)</f>
        <v/>
      </c>
    </row>
    <row r="475" ht="16.5" customHeight="1">
      <c r="A475" s="205" t="n"/>
      <c r="B475" s="205" t="n"/>
      <c r="C475" s="205" t="n"/>
      <c r="D475" s="202" t="inlineStr">
        <is>
          <t>南亞科(2408)</t>
        </is>
      </c>
      <c r="E475" s="203" t="n">
        <v>299</v>
      </c>
      <c r="F475" s="203" t="n">
        <v>92</v>
      </c>
      <c r="G475" s="203" t="n">
        <v>15718</v>
      </c>
      <c r="H475" s="203" t="n">
        <v>4839</v>
      </c>
      <c r="I475" s="203" t="n">
        <v>10879</v>
      </c>
      <c r="J475" s="204" t="n">
        <v>525.7</v>
      </c>
      <c r="K475" s="204" t="n">
        <v>526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大立光(3008)</t>
        </is>
      </c>
      <c r="E476" s="203" t="n">
        <v>10</v>
      </c>
      <c r="F476" s="203" t="n">
        <v>8</v>
      </c>
      <c r="G476" s="203" t="n">
        <v>7800</v>
      </c>
      <c r="H476" s="203" t="n">
        <v>6003</v>
      </c>
      <c r="I476" s="203" t="n">
        <v>1797</v>
      </c>
      <c r="J476" s="204" t="n">
        <v>7800.2</v>
      </c>
      <c r="K476" s="204" t="n">
        <v>7503.75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華邦電(2344)</t>
        </is>
      </c>
      <c r="E477" s="203" t="n">
        <v>380</v>
      </c>
      <c r="F477" s="203" t="n">
        <v>158</v>
      </c>
      <c r="G477" s="203" t="n">
        <v>6740</v>
      </c>
      <c r="H477" s="203" t="n">
        <v>2791</v>
      </c>
      <c r="I477" s="203" t="n">
        <v>3949</v>
      </c>
      <c r="J477" s="204" t="n">
        <v>177.38</v>
      </c>
      <c r="K477" s="204" t="n">
        <v>176.66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南電(8046)</t>
        </is>
      </c>
      <c r="E478" s="203" t="n">
        <v>32</v>
      </c>
      <c r="F478" s="203" t="n">
        <v>12</v>
      </c>
      <c r="G478" s="203" t="n">
        <v>3958</v>
      </c>
      <c r="H478" s="203" t="n">
        <v>1467</v>
      </c>
      <c r="I478" s="203" t="n">
        <v>2491</v>
      </c>
      <c r="J478" s="204" t="n">
        <v>1237.03</v>
      </c>
      <c r="K478" s="204" t="n">
        <v>1222.75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環球晶(6488)</t>
        </is>
      </c>
      <c r="E479" s="203" t="n">
        <v>38</v>
      </c>
      <c r="F479" s="203" t="n">
        <v>29</v>
      </c>
      <c r="G479" s="203" t="n">
        <v>3812</v>
      </c>
      <c r="H479" s="203" t="n">
        <v>2866</v>
      </c>
      <c r="I479" s="203" t="n">
        <v>946</v>
      </c>
      <c r="J479" s="204" t="n">
        <v>1003.13</v>
      </c>
      <c r="K479" s="204" t="n">
        <v>988.45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群創(3481)</t>
        </is>
      </c>
      <c r="E480" s="203" t="n">
        <v>672</v>
      </c>
      <c r="F480" s="203" t="n">
        <v>590</v>
      </c>
      <c r="G480" s="203" t="n">
        <v>3313</v>
      </c>
      <c r="H480" s="203" t="n">
        <v>2909</v>
      </c>
      <c r="I480" s="203" t="n">
        <v>404</v>
      </c>
      <c r="J480" s="204" t="n">
        <v>49.3</v>
      </c>
      <c r="K480" s="204" t="n">
        <v>49.3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力積電(6770)</t>
        </is>
      </c>
      <c r="E481" s="203" t="n">
        <v>448</v>
      </c>
      <c r="F481" s="203" t="n">
        <v>348</v>
      </c>
      <c r="G481" s="203" t="n">
        <v>3204</v>
      </c>
      <c r="H481" s="203" t="n">
        <v>2474</v>
      </c>
      <c r="I481" s="203" t="n">
        <v>730</v>
      </c>
      <c r="J481" s="204" t="n">
        <v>71.52</v>
      </c>
      <c r="K481" s="204" t="n">
        <v>71.08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金居(8358)</t>
        </is>
      </c>
      <c r="E482" s="203" t="n">
        <v>61</v>
      </c>
      <c r="F482" s="203" t="n">
        <v>37</v>
      </c>
      <c r="G482" s="203" t="n">
        <v>3198</v>
      </c>
      <c r="H482" s="203" t="n">
        <v>1943</v>
      </c>
      <c r="I482" s="203" t="n">
        <v>1255</v>
      </c>
      <c r="J482" s="204" t="n">
        <v>524.34</v>
      </c>
      <c r="K482" s="204" t="n">
        <v>525.24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頎邦(6147)</t>
        </is>
      </c>
      <c r="E483" s="203" t="n">
        <v>172</v>
      </c>
      <c r="F483" s="203" t="n">
        <v>118</v>
      </c>
      <c r="G483" s="203" t="n">
        <v>3135</v>
      </c>
      <c r="H483" s="203" t="n">
        <v>2172</v>
      </c>
      <c r="I483" s="203" t="n">
        <v>963</v>
      </c>
      <c r="J483" s="204" t="n">
        <v>182.27</v>
      </c>
      <c r="K483" s="204" t="n">
        <v>184.04</v>
      </c>
      <c r="L483" s="236">
        <f>F483*(K483-J483)</f>
        <v/>
      </c>
    </row>
    <row r="484" ht="16.5" customHeight="1">
      <c r="A484" s="207" t="inlineStr">
        <is>
          <t>ⓘ histock top-buyer 資料 fetched @ 2026-09-01 17:38 | 17/17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2026-09-01T17:38:32Z</dcterms:modified>
</cp:coreProperties>
</file>