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4" sheetId="6" state="visible" r:id="rId6"/>
    <sheet name="20260813" sheetId="7" state="visible" r:id="rId7"/>
    <sheet name="20260812" sheetId="8" state="visible" r:id="rId8"/>
    <sheet name="20260811" sheetId="9" state="visible" r:id="rId9"/>
    <sheet name="20260810" sheetId="10" state="visible" r:id="rId10"/>
    <sheet name="20260807" sheetId="11" state="visible" r:id="rId11"/>
    <sheet name="20260806" sheetId="12" state="visible" r:id="rId12"/>
    <sheet name="20260805" sheetId="13" state="visible" r:id="rId13"/>
    <sheet name="20260804" sheetId="14" state="visible" r:id="rId14"/>
    <sheet name="20260803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54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  <numFmt numFmtId="210" formatCode="+0&quot; 億 (昨-158/5d-65)&quot;;-0&quot; 億 (昨-158/5d-65)&quot;;0&quot; 億&quot;"/>
    <numFmt numFmtId="211" formatCode="0&quot; 檔 +70億 &quot;&quot;(昨15/5d12)&quot;"/>
    <numFmt numFmtId="212" formatCode="0.0%&quot; 市-531億 &quot;&quot;(昨15/5d19)&quot;"/>
    <numFmt numFmtId="213" formatCode="0.00&quot;%&quot;"/>
    <numFmt numFmtId="214" formatCode="+0.00&quot;%&quot;;-0.00&quot;%&quot;;0&quot;%&quot;"/>
    <numFmt numFmtId="215" formatCode="0.0&quot;%&quot;"/>
    <numFmt numFmtId="216" formatCode="0&quot;%&quot;"/>
    <numFmt numFmtId="217" formatCode="0.0%&quot; 市-530億 &quot;&quot;(昨15/5d19)&quot;"/>
  </numFmts>
  <fonts count="51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  <font>
      <name val="Noto Sans TC"/>
      <b val="1"/>
      <color rgb="FF059669"/>
      <sz val="10"/>
    </font>
    <font>
      <name val="Noto Sans TC"/>
      <b val="1"/>
      <color rgb="FF059669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8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  <xf numFmtId="210" fontId="25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0" fontId="40" fillId="49" borderId="0" applyAlignment="1" pivotButton="0" quotePrefix="0" xfId="0">
      <alignment horizontal="left" vertical="center" indent="1"/>
    </xf>
    <xf numFmtId="0" fontId="41" fillId="3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0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213" fontId="45" fillId="0" borderId="0" applyAlignment="1" pivotButton="0" quotePrefix="0" xfId="0">
      <alignment horizontal="center"/>
    </xf>
    <xf numFmtId="214" fontId="41" fillId="0" borderId="0" applyAlignment="1" pivotButton="0" quotePrefix="0" xfId="0">
      <alignment horizontal="right"/>
    </xf>
    <xf numFmtId="0" fontId="46" fillId="0" borderId="0" pivotButton="0" quotePrefix="0" xfId="0"/>
    <xf numFmtId="0" fontId="44" fillId="0" borderId="0" applyAlignment="1" pivotButton="0" quotePrefix="0" xfId="0">
      <alignment horizontal="center"/>
    </xf>
    <xf numFmtId="215" fontId="4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7" fillId="0" borderId="0" applyAlignment="1" pivotButton="0" quotePrefix="0" xfId="0">
      <alignment horizontal="left" vertical="center" indent="1"/>
    </xf>
    <xf numFmtId="0" fontId="48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214" fontId="0" fillId="0" borderId="0" applyAlignment="1" pivotButton="0" quotePrefix="0" xfId="0">
      <alignment horizontal="right"/>
    </xf>
    <xf numFmtId="214" fontId="49" fillId="0" borderId="0" applyAlignment="1" pivotButton="0" quotePrefix="0" xfId="0">
      <alignment horizontal="right"/>
    </xf>
    <xf numFmtId="216" fontId="44" fillId="0" borderId="0" applyAlignment="1" pivotButton="0" quotePrefix="0" xfId="0">
      <alignment horizontal="center"/>
    </xf>
    <xf numFmtId="215" fontId="44" fillId="0" borderId="0" applyAlignment="1" pivotButton="0" quotePrefix="0" xfId="0">
      <alignment horizontal="center"/>
    </xf>
    <xf numFmtId="0" fontId="50" fillId="0" borderId="0" pivotButton="0" quotePrefix="0" xfId="0"/>
    <xf numFmtId="216" fontId="45" fillId="0" borderId="0" applyAlignment="1" pivotButton="0" quotePrefix="0" xfId="0">
      <alignment horizontal="center"/>
    </xf>
    <xf numFmtId="217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59.4%
  • 領頭金額 226,475 萬
  • 合計淨買 381,384 萬
  • 大戶數 11 位 (名義共識)
判讀: 名義 11 位大戶共識,
實質 1 人下注佔 59%,
剩餘 10 位為陪襯小單,
真共識訊號被稀釋.</t>
      </text>
    </comment>
    <comment ref="D19" authorId="0" shapeId="0">
      <text>
        <t>⚠️ 假共識警示
領頭大戶「陳族元」獨佔比 51.4%
  • 領頭金額 17,518 萬
  • 合計淨買 34,115 萬
  • 大戶數 11 位 (名義共識)
判讀: 名義 11 位大戶共識,
實質 1 人下注佔 51%,
剩餘 10 位為陪襯小單,
真共識訊號被稀釋.</t>
      </text>
    </comment>
    <comment ref="D20" authorId="0" shapeId="0">
      <text>
        <t>⚠️ 假共識警示
領頭大戶「張濬安(航海王)」獨佔比 53.0%
  • 領頭金額 12,343 萬
  • 合計淨買 23,291 萬
  • 大戶數 10 位 (名義共識)
判讀: 名義 10 位大戶共識,
實質 1 人下注佔 53%,
剩餘 9 位為陪襯小單,
真共識訊號被稀釋.</t>
      </text>
    </comment>
    <comment ref="D27" authorId="0" shapeId="0">
      <text>
        <t>⚠️ 假共識警示
領頭大戶「竹科主力分點」獨佔比 61.5%
  • 領頭金額 2,051 萬
  • 合計淨買 3,334 萬
  • 大戶數 11 位 (名義共識)
判讀: 名義 11 位大戶共識,
實質 1 人下注佔 62%,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4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2026/08/14 (追蹤 13 位大戶)</t>
        </is>
      </c>
    </row>
    <row r="3" ht="24" customHeight="1">
      <c r="B3" s="2" t="inlineStr">
        <is>
          <t>🎯 13 強共識 / Q5 ↑ 偏多 95% / E 10 異常 / F 10 長期 / J 0 集中 / H 0 借券壓力</t>
        </is>
      </c>
    </row>
    <row r="4" ht="22" customHeight="1">
      <c r="B4" s="3" t="inlineStr">
        <is>
          <t>💡 🎯 quad 進場 (78.9% alpha): 8299 / 2327 / 6182 +7  |  避開 — 除權息 1 檔: 00401A | 明日恐處置 2 檔: 7795/8033  |  訊號: 強偏多 (Q5 95%,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30.0% [10.8–60.3% 95% CI] (n=10, mean -0.73%) | 30d 實戰: 3/10 = 30.0% vs baseline 52.8% = -22.8pp — 樣本不足</t>
        </is>
      </c>
    </row>
    <row r="9" ht="18" customHeight="1">
      <c r="B9" s="6" t="inlineStr">
        <is>
          <t>⚠️ 跟單實際淨報酬 (扣 0.585% 成本): 淨 hit 3/10 = 30% | 平均 -1.31% | 中位 -1.25% | 累積 -13%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43" t="inlineStr">
        <is>
          <t>🎯 今日 quad 命中 10 檔 (⭐ 10 一般 quad): 群聯(8299), 國巨*(2327), 合晶(6182), 嘉澤(3533), 華新科(2492) +5 檔  |  Q5 偏多 + 1 位 master 量爆</t>
        </is>
      </c>
    </row>
    <row r="12" ht="18" customHeight="1">
      <c r="B12" s="9" t="inlineStr">
        <is>
          <t>📊 今日共識集中產業 (top 3): 半導體業 5 (38%)  |  電子零組件業 4 (31%)  |  電腦及週邊設備業 1 (8%)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" t="inlineStr">
        <is>
          <t>📌 ⭐⚠️ 台積電</t>
        </is>
      </c>
      <c r="E16" s="14" t="n">
        <v>11</v>
      </c>
      <c r="F16" s="15" t="n">
        <v>23</v>
      </c>
      <c r="G16" s="16" t="inlineStr">
        <is>
          <t>陳族元</t>
        </is>
      </c>
      <c r="H16" s="17" t="n">
        <v>226475</v>
      </c>
      <c r="I16" t="inlineStr">
        <is>
          <t>張濬安</t>
        </is>
      </c>
      <c r="J16" s="18" t="n">
        <v>66236</v>
      </c>
      <c r="K16" t="inlineStr">
        <is>
          <t>林滄海</t>
        </is>
      </c>
      <c r="L16" s="18" t="n">
        <v>41718</v>
      </c>
      <c r="M16" s="19" t="n">
        <v>8</v>
      </c>
      <c r="N16" s="17" t="n">
        <v>381384</v>
      </c>
    </row>
    <row r="17">
      <c r="B17" s="13" t="n">
        <v>2</v>
      </c>
      <c r="C17" t="inlineStr">
        <is>
          <t>2327</t>
        </is>
      </c>
      <c r="D17" s="244" t="inlineStr">
        <is>
          <t>⭐ 國巨*</t>
        </is>
      </c>
      <c r="E17" s="14" t="n">
        <v>12</v>
      </c>
      <c r="F17" s="15" t="n">
        <v>29</v>
      </c>
      <c r="G17" s="16" t="inlineStr">
        <is>
          <t>張濬安</t>
        </is>
      </c>
      <c r="H17" s="17" t="n">
        <v>27558</v>
      </c>
      <c r="I17" t="inlineStr">
        <is>
          <t>林滄海</t>
        </is>
      </c>
      <c r="J17" s="18" t="n">
        <v>18774</v>
      </c>
      <c r="K17" t="inlineStr">
        <is>
          <t>陳族元</t>
        </is>
      </c>
      <c r="L17" s="18" t="n">
        <v>12621</v>
      </c>
      <c r="M17" s="19" t="n">
        <v>9</v>
      </c>
      <c r="N17" s="17" t="n">
        <v>94642</v>
      </c>
    </row>
    <row r="18">
      <c r="B18" s="13" t="n">
        <v>3</v>
      </c>
      <c r="C18" t="inlineStr">
        <is>
          <t>8299</t>
        </is>
      </c>
      <c r="D18" s="244" t="inlineStr">
        <is>
          <t>⭐ 群聯</t>
        </is>
      </c>
      <c r="E18" s="14" t="n">
        <v>12</v>
      </c>
      <c r="F18" s="15" t="n">
        <v>22</v>
      </c>
      <c r="G18" s="16" t="inlineStr">
        <is>
          <t>林滄海</t>
        </is>
      </c>
      <c r="H18" s="17" t="n">
        <v>14788</v>
      </c>
      <c r="I18" t="inlineStr">
        <is>
          <t>布哥</t>
        </is>
      </c>
      <c r="J18" s="18" t="n">
        <v>13836</v>
      </c>
      <c r="K18" t="inlineStr">
        <is>
          <t>陳族元</t>
        </is>
      </c>
      <c r="L18" s="18" t="n">
        <v>11656</v>
      </c>
      <c r="M18" s="19" t="n">
        <v>9</v>
      </c>
      <c r="N18" s="17" t="n">
        <v>72645</v>
      </c>
    </row>
    <row r="19">
      <c r="B19" t="n">
        <v>4</v>
      </c>
      <c r="C19" t="inlineStr">
        <is>
          <t>3533</t>
        </is>
      </c>
      <c r="D19" s="20" t="inlineStr">
        <is>
          <t>📌 🔁 ⭐⚠️ 嘉澤</t>
        </is>
      </c>
      <c r="E19" s="14" t="n">
        <v>11</v>
      </c>
      <c r="F19" s="15" t="n">
        <v>20</v>
      </c>
      <c r="G19" s="16" t="inlineStr">
        <is>
          <t>陳族元</t>
        </is>
      </c>
      <c r="H19" s="17" t="n">
        <v>17518</v>
      </c>
      <c r="I19" t="inlineStr">
        <is>
          <t>張濬安</t>
        </is>
      </c>
      <c r="J19" s="18" t="n">
        <v>4149</v>
      </c>
      <c r="K19" t="inlineStr">
        <is>
          <t>強森</t>
        </is>
      </c>
      <c r="L19" s="18" t="n">
        <v>3844</v>
      </c>
      <c r="M19" s="19" t="n">
        <v>8</v>
      </c>
      <c r="N19" s="17" t="n">
        <v>34115</v>
      </c>
    </row>
    <row r="20">
      <c r="B20" t="n">
        <v>5</v>
      </c>
      <c r="C20" t="inlineStr">
        <is>
          <t>2303</t>
        </is>
      </c>
      <c r="D20" s="20" t="inlineStr">
        <is>
          <t>📌 ⚠️ 聯電</t>
        </is>
      </c>
      <c r="E20" s="14" t="n">
        <v>10</v>
      </c>
      <c r="F20" s="15" t="n">
        <v>15</v>
      </c>
      <c r="G20" s="16" t="inlineStr">
        <is>
          <t>張濬安</t>
        </is>
      </c>
      <c r="H20" s="17" t="n">
        <v>12344</v>
      </c>
      <c r="I20" t="inlineStr">
        <is>
          <t>林滄海</t>
        </is>
      </c>
      <c r="J20" s="18" t="n">
        <v>2755</v>
      </c>
      <c r="K20" t="inlineStr">
        <is>
          <t>民哥</t>
        </is>
      </c>
      <c r="L20" s="18" t="n">
        <v>1694</v>
      </c>
      <c r="M20" s="19" t="n">
        <v>7</v>
      </c>
      <c r="N20" s="17" t="n">
        <v>23291</v>
      </c>
    </row>
    <row r="21">
      <c r="B21" t="n">
        <v>6</v>
      </c>
      <c r="C21" t="inlineStr">
        <is>
          <t>2492</t>
        </is>
      </c>
      <c r="D21" s="244" t="inlineStr">
        <is>
          <t>⭐ 華新科</t>
        </is>
      </c>
      <c r="E21" s="14" t="n">
        <v>10</v>
      </c>
      <c r="F21" s="15" t="n">
        <v>15</v>
      </c>
      <c r="G21" s="16" t="inlineStr">
        <is>
          <t>陳族元</t>
        </is>
      </c>
      <c r="H21" s="17" t="n">
        <v>5492</v>
      </c>
      <c r="I21" t="inlineStr">
        <is>
          <t>張濬安</t>
        </is>
      </c>
      <c r="J21" s="18" t="n">
        <v>3466</v>
      </c>
      <c r="K21" t="inlineStr">
        <is>
          <t>陳律師</t>
        </is>
      </c>
      <c r="L21" s="18" t="n">
        <v>3337</v>
      </c>
      <c r="M21" s="19" t="n">
        <v>7</v>
      </c>
      <c r="N21" s="17" t="n">
        <v>21085</v>
      </c>
    </row>
    <row r="22">
      <c r="B22" t="n">
        <v>7</v>
      </c>
      <c r="C22" t="inlineStr">
        <is>
          <t>2317</t>
        </is>
      </c>
      <c r="D22" s="244" t="inlineStr">
        <is>
          <t>📌 🔁 ⭐ 鴻海</t>
        </is>
      </c>
      <c r="E22" s="14" t="n">
        <v>10</v>
      </c>
      <c r="F22" s="15" t="n">
        <v>14</v>
      </c>
      <c r="G22" s="16" t="inlineStr">
        <is>
          <t>民哥</t>
        </is>
      </c>
      <c r="H22" s="17" t="n">
        <v>5312</v>
      </c>
      <c r="I22" t="inlineStr">
        <is>
          <t>陳律師</t>
        </is>
      </c>
      <c r="J22" s="18" t="n">
        <v>4167</v>
      </c>
      <c r="K22" t="inlineStr">
        <is>
          <t>張濬安</t>
        </is>
      </c>
      <c r="L22" s="18" t="n">
        <v>2252</v>
      </c>
      <c r="M22" s="19" t="n">
        <v>7</v>
      </c>
      <c r="N22" s="17" t="n">
        <v>17680</v>
      </c>
    </row>
    <row r="23">
      <c r="B23" t="n">
        <v>8</v>
      </c>
      <c r="C23" t="inlineStr">
        <is>
          <t>8358</t>
        </is>
      </c>
      <c r="D23" s="244" t="inlineStr">
        <is>
          <t>🔁 ⭐ 金居</t>
        </is>
      </c>
      <c r="E23" s="14" t="n">
        <v>10</v>
      </c>
      <c r="F23" s="15" t="n">
        <v>16</v>
      </c>
      <c r="G23" s="16" t="inlineStr">
        <is>
          <t>竹科主力分點</t>
        </is>
      </c>
      <c r="H23" s="17" t="n">
        <v>5673</v>
      </c>
      <c r="I23" t="inlineStr">
        <is>
          <t>陳律師</t>
        </is>
      </c>
      <c r="J23" s="18" t="n">
        <v>3232</v>
      </c>
      <c r="K23" t="inlineStr">
        <is>
          <t>陳族元</t>
        </is>
      </c>
      <c r="L23" s="18" t="n">
        <v>2988</v>
      </c>
      <c r="M23" s="19" t="n">
        <v>7</v>
      </c>
      <c r="N23" s="17" t="n">
        <v>16708</v>
      </c>
    </row>
    <row r="24">
      <c r="B24" t="n">
        <v>9</v>
      </c>
      <c r="C24" t="inlineStr">
        <is>
          <t>6182</t>
        </is>
      </c>
      <c r="D24" s="244" t="inlineStr">
        <is>
          <t>📌 ⭐ 合晶</t>
        </is>
      </c>
      <c r="E24" s="14" t="n">
        <v>12</v>
      </c>
      <c r="F24" s="15" t="n">
        <v>18</v>
      </c>
      <c r="G24" s="16" t="inlineStr">
        <is>
          <t>陳族元</t>
        </is>
      </c>
      <c r="H24" s="17" t="n">
        <v>2673</v>
      </c>
      <c r="I24" t="inlineStr">
        <is>
          <t>林滄海</t>
        </is>
      </c>
      <c r="J24" s="18" t="n">
        <v>2635</v>
      </c>
      <c r="K24" t="inlineStr">
        <is>
          <t>張濬安</t>
        </is>
      </c>
      <c r="L24" s="18" t="n">
        <v>2586</v>
      </c>
      <c r="M24" s="19" t="n">
        <v>9</v>
      </c>
      <c r="N24" s="17" t="n">
        <v>15722</v>
      </c>
    </row>
    <row r="25">
      <c r="B25" t="n">
        <v>10</v>
      </c>
      <c r="C25" t="inlineStr">
        <is>
          <t>2377</t>
        </is>
      </c>
      <c r="D25" s="244" t="inlineStr">
        <is>
          <t>📌 ⭐ 微星</t>
        </is>
      </c>
      <c r="E25" s="14" t="n">
        <v>10</v>
      </c>
      <c r="F25" s="15" t="n">
        <v>15</v>
      </c>
      <c r="G25" s="16" t="inlineStr">
        <is>
          <t>強森</t>
        </is>
      </c>
      <c r="H25" s="17" t="n">
        <v>2126</v>
      </c>
      <c r="I25" t="inlineStr">
        <is>
          <t>張濬安</t>
        </is>
      </c>
      <c r="J25" s="18" t="n">
        <v>1374</v>
      </c>
      <c r="K25" t="inlineStr">
        <is>
          <t>林滄海</t>
        </is>
      </c>
      <c r="L25" s="18" t="n">
        <v>1369</v>
      </c>
      <c r="M25" s="19" t="n">
        <v>7</v>
      </c>
      <c r="N25" s="17" t="n">
        <v>8730</v>
      </c>
    </row>
    <row r="26">
      <c r="B26" t="n">
        <v>11</v>
      </c>
      <c r="C26" t="inlineStr">
        <is>
          <t>2449</t>
        </is>
      </c>
      <c r="D26" t="inlineStr">
        <is>
          <t>📌 🔁 京元電子</t>
        </is>
      </c>
      <c r="E26" s="14" t="n">
        <v>11</v>
      </c>
      <c r="F26" s="15" t="n">
        <v>15</v>
      </c>
      <c r="G26" s="16" t="inlineStr">
        <is>
          <t>強森</t>
        </is>
      </c>
      <c r="H26" s="17" t="n">
        <v>2092</v>
      </c>
      <c r="I26" t="inlineStr">
        <is>
          <t>蔣承翰</t>
        </is>
      </c>
      <c r="J26" s="18" t="n">
        <v>1241</v>
      </c>
      <c r="K26" t="inlineStr">
        <is>
          <t>張濬安</t>
        </is>
      </c>
      <c r="L26" s="18" t="n">
        <v>660</v>
      </c>
      <c r="M26" s="19" t="n">
        <v>8</v>
      </c>
      <c r="N26" s="17" t="n">
        <v>7192</v>
      </c>
    </row>
    <row r="27">
      <c r="B27" t="n">
        <v>12</v>
      </c>
      <c r="C27" t="inlineStr">
        <is>
          <t>2002</t>
        </is>
      </c>
      <c r="D27" s="20" t="inlineStr">
        <is>
          <t>📌 ⭐⚠️ 中鋼</t>
        </is>
      </c>
      <c r="E27" s="14" t="n">
        <v>11</v>
      </c>
      <c r="F27" s="15" t="n">
        <v>13</v>
      </c>
      <c r="G27" s="16" t="inlineStr">
        <is>
          <t>竹科主力分點</t>
        </is>
      </c>
      <c r="H27" s="17" t="n">
        <v>2051</v>
      </c>
      <c r="I27" t="inlineStr">
        <is>
          <t>蔣承翰</t>
        </is>
      </c>
      <c r="J27" s="18" t="n">
        <v>415</v>
      </c>
      <c r="K27" t="inlineStr">
        <is>
          <t>強森</t>
        </is>
      </c>
      <c r="L27" s="18" t="n">
        <v>205</v>
      </c>
      <c r="M27" s="19" t="n">
        <v>8</v>
      </c>
      <c r="N27" s="17" t="n">
        <v>3335</v>
      </c>
    </row>
    <row r="28">
      <c r="B28" t="n">
        <v>13</v>
      </c>
      <c r="C28" t="inlineStr">
        <is>
          <t>2618</t>
        </is>
      </c>
      <c r="D28" t="inlineStr">
        <is>
          <t>長榮航</t>
        </is>
      </c>
      <c r="E28" s="14" t="n">
        <v>10</v>
      </c>
      <c r="F28" s="15" t="n">
        <v>14</v>
      </c>
      <c r="G28" s="16" t="inlineStr">
        <is>
          <t>林滄海</t>
        </is>
      </c>
      <c r="H28" s="17" t="n">
        <v>527</v>
      </c>
      <c r="I28" t="inlineStr">
        <is>
          <t>強森</t>
        </is>
      </c>
      <c r="J28" s="18" t="n">
        <v>439</v>
      </c>
      <c r="K28" t="inlineStr">
        <is>
          <t>陳族元</t>
        </is>
      </c>
      <c r="L28" s="18" t="n">
        <v>375</v>
      </c>
      <c r="M28" s="19" t="n">
        <v>7</v>
      </c>
      <c r="N28" s="17" t="n">
        <v>3062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178" t="n">
        <v>1</v>
      </c>
      <c r="F31" s="22" t="inlineStr">
        <is>
          <t>Q2 淨買差</t>
        </is>
      </c>
      <c r="G31" s="240" t="n">
        <v>-78.98891999999999</v>
      </c>
    </row>
    <row r="32" ht="28" customHeight="1">
      <c r="B32" s="22" t="inlineStr">
        <is>
          <t>Q3 強共識股</t>
        </is>
      </c>
      <c r="C32" s="241" t="n">
        <v>13</v>
      </c>
      <c r="F32" s="22" t="inlineStr">
        <is>
          <t>Q4 追蹤佔比</t>
        </is>
      </c>
      <c r="G32" s="267" t="n">
        <v>0.1774460334097482</v>
      </c>
    </row>
    <row r="33" ht="22" customHeight="1">
      <c r="B33" s="182" t="n">
        <v>95</v>
      </c>
    </row>
    <row r="34" ht="18" customHeight="1">
      <c r="B34" s="28" t="inlineStr">
        <is>
          <t>✅ 過去 30 天 P/C 命中率: 偏多 13/18 (72%) | 偏空 2/2 (100%) | 整體 15/20 (75%)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張濬安(航海王)</t>
        </is>
      </c>
      <c r="D38" s="33" t="n">
        <v>1998293</v>
      </c>
      <c r="E38" t="inlineStr">
        <is>
          <t>34.5%</t>
        </is>
      </c>
      <c r="F38" t="n">
        <v>1</v>
      </c>
      <c r="G38" s="16" t="inlineStr">
        <is>
          <t>台積電(2330)</t>
        </is>
      </c>
      <c r="H38" s="33" t="n">
        <v>381384</v>
      </c>
      <c r="I38" s="183" t="n">
        <v>-0.0164</v>
      </c>
    </row>
    <row r="39">
      <c r="B39" t="n">
        <v>2</v>
      </c>
      <c r="C39" s="32" t="inlineStr">
        <is>
          <t>陳族元</t>
        </is>
      </c>
      <c r="D39" s="33" t="n">
        <v>1285003</v>
      </c>
      <c r="E39" t="inlineStr">
        <is>
          <t>22.2%</t>
        </is>
      </c>
      <c r="F39" t="n">
        <v>2</v>
      </c>
      <c r="G39" s="16" t="inlineStr">
        <is>
          <t>南亞(1303)</t>
        </is>
      </c>
      <c r="H39" s="33" t="n">
        <v>339944</v>
      </c>
      <c r="I39" s="184" t="n">
        <v>0.09789999999999999</v>
      </c>
    </row>
    <row r="40">
      <c r="B40" t="n">
        <v>3</v>
      </c>
      <c r="C40" s="38" t="inlineStr">
        <is>
          <t>蔣承翰</t>
        </is>
      </c>
      <c r="D40" s="33" t="n">
        <v>730778</v>
      </c>
      <c r="E40" t="inlineStr">
        <is>
          <t>12.6%</t>
        </is>
      </c>
      <c r="F40" t="n">
        <v>3</v>
      </c>
      <c r="G40" s="16" t="inlineStr">
        <is>
          <t>高力(8996)</t>
        </is>
      </c>
      <c r="H40" s="33" t="n">
        <v>146315</v>
      </c>
      <c r="I40" s="183" t="n">
        <v>-0.0039</v>
      </c>
    </row>
    <row r="41">
      <c r="B41" t="n">
        <v>4</v>
      </c>
      <c r="C41" s="37" t="inlineStr">
        <is>
          <t>林滄海</t>
        </is>
      </c>
      <c r="D41" s="33" t="n">
        <v>598315</v>
      </c>
      <c r="E41" t="inlineStr">
        <is>
          <t>10.3%</t>
        </is>
      </c>
      <c r="F41" t="n">
        <v>4</v>
      </c>
      <c r="G41" s="16" t="inlineStr">
        <is>
          <t>雷虎(8033)</t>
        </is>
      </c>
      <c r="H41" s="33" t="n">
        <v>106764</v>
      </c>
      <c r="I41" s="184" t="n">
        <v>0.09810000000000001</v>
      </c>
    </row>
    <row r="42">
      <c r="B42" t="n">
        <v>5</v>
      </c>
      <c r="C42" s="46" t="inlineStr">
        <is>
          <t>強森</t>
        </is>
      </c>
      <c r="D42" s="33" t="n">
        <v>301215</v>
      </c>
      <c r="E42" t="inlineStr">
        <is>
          <t>5.2%</t>
        </is>
      </c>
      <c r="F42" t="n">
        <v>5</v>
      </c>
      <c r="G42" s="16" t="inlineStr">
        <is>
          <t>國巨*(2327)</t>
        </is>
      </c>
      <c r="H42" s="33" t="n">
        <v>94642</v>
      </c>
      <c r="I42" s="183" t="n">
        <v>-0.0604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Tradow</t>
        </is>
      </c>
      <c r="D47" t="inlineStr">
        <is>
          <t>high</t>
        </is>
      </c>
      <c r="E47" t="inlineStr">
        <is>
          <t>Tradow 今日買進 21 檔新標的 (過去從沒買過)</t>
        </is>
      </c>
      <c r="F47" t="inlineStr">
        <is>
          <t>21 檔</t>
        </is>
      </c>
    </row>
    <row r="48">
      <c r="B48" s="58" t="inlineStr">
        <is>
          <t>🆕 新標的</t>
        </is>
      </c>
      <c r="C48" s="58" t="inlineStr">
        <is>
          <t>張濬安(航海王)</t>
        </is>
      </c>
      <c r="D48" s="58" t="inlineStr">
        <is>
          <t>high</t>
        </is>
      </c>
      <c r="E48" s="58" t="inlineStr">
        <is>
          <t>張濬安(航海王) 今日買進 21 檔新標的 (過去從沒買過)</t>
        </is>
      </c>
      <c r="F48" s="58" t="inlineStr">
        <is>
          <t>21 檔</t>
        </is>
      </c>
    </row>
    <row r="49">
      <c r="B49" t="inlineStr">
        <is>
          <t>🆕 新標的</t>
        </is>
      </c>
      <c r="C49" t="inlineStr">
        <is>
          <t>陳族元</t>
        </is>
      </c>
      <c r="D49" t="inlineStr">
        <is>
          <t>high</t>
        </is>
      </c>
      <c r="E49" t="inlineStr">
        <is>
          <t>陳族元 今日買進 20 檔新標的 (過去從沒買過)</t>
        </is>
      </c>
      <c r="F49" t="inlineStr">
        <is>
          <t>20 檔</t>
        </is>
      </c>
    </row>
    <row r="50">
      <c r="B50" s="58" t="inlineStr">
        <is>
          <t>🆕 新標的</t>
        </is>
      </c>
      <c r="C50" s="58" t="inlineStr">
        <is>
          <t>巨人傑</t>
        </is>
      </c>
      <c r="D50" s="58" t="inlineStr">
        <is>
          <t>high</t>
        </is>
      </c>
      <c r="E50" s="58" t="inlineStr">
        <is>
          <t>巨人傑 今日買進 19 檔新標的 (過去從沒買過)</t>
        </is>
      </c>
      <c r="F50" s="58" t="inlineStr">
        <is>
          <t>19 檔</t>
        </is>
      </c>
    </row>
    <row r="51">
      <c r="B51" t="inlineStr">
        <is>
          <t>🆕 新標的</t>
        </is>
      </c>
      <c r="C51" t="inlineStr">
        <is>
          <t>強森</t>
        </is>
      </c>
      <c r="D51" t="inlineStr">
        <is>
          <t>high</t>
        </is>
      </c>
      <c r="E51" t="inlineStr">
        <is>
          <t>強森 今日買進 19 檔新標的 (過去從沒買過)</t>
        </is>
      </c>
      <c r="F51" t="inlineStr">
        <is>
          <t>19 檔</t>
        </is>
      </c>
    </row>
    <row r="52">
      <c r="B52" s="58" t="inlineStr">
        <is>
          <t>🆕 新標的</t>
        </is>
      </c>
      <c r="C52" s="58" t="inlineStr">
        <is>
          <t>竹科主力分點</t>
        </is>
      </c>
      <c r="D52" s="58" t="inlineStr">
        <is>
          <t>high</t>
        </is>
      </c>
      <c r="E52" s="58" t="inlineStr">
        <is>
          <t>竹科主力分點 今日買進 19 檔新標的 (過去從沒買過)</t>
        </is>
      </c>
      <c r="F52" s="58" t="inlineStr">
        <is>
          <t>19 檔</t>
        </is>
      </c>
    </row>
    <row r="53">
      <c r="B53" t="inlineStr">
        <is>
          <t>🆕 新標的</t>
        </is>
      </c>
      <c r="C53" t="inlineStr">
        <is>
          <t>民哥</t>
        </is>
      </c>
      <c r="D53" t="inlineStr">
        <is>
          <t>high</t>
        </is>
      </c>
      <c r="E53" t="inlineStr">
        <is>
          <t>民哥 今日買進 17 檔新標的 (過去從沒買過)</t>
        </is>
      </c>
      <c r="F53" t="inlineStr">
        <is>
          <t>17 檔</t>
        </is>
      </c>
    </row>
    <row r="54">
      <c r="B54" s="58" t="inlineStr">
        <is>
          <t>🆕 新標的</t>
        </is>
      </c>
      <c r="C54" s="58" t="inlineStr">
        <is>
          <t>大牌分析師</t>
        </is>
      </c>
      <c r="D54" s="58" t="inlineStr">
        <is>
          <t>high</t>
        </is>
      </c>
      <c r="E54" s="58" t="inlineStr">
        <is>
          <t>大牌分析師 今日買進 14 檔新標的 (過去從沒買過)</t>
        </is>
      </c>
      <c r="F54" s="58" t="inlineStr">
        <is>
          <t>14 檔</t>
        </is>
      </c>
    </row>
    <row r="55">
      <c r="B55" t="inlineStr">
        <is>
          <t>🆕 新標的</t>
        </is>
      </c>
      <c r="C55" t="inlineStr">
        <is>
          <t>林滄海</t>
        </is>
      </c>
      <c r="D55" t="inlineStr">
        <is>
          <t>high</t>
        </is>
      </c>
      <c r="E55" t="inlineStr">
        <is>
          <t>林滄海 今日買進 14 檔新標的 (過去從沒買過)</t>
        </is>
      </c>
      <c r="F55" t="inlineStr">
        <is>
          <t>14 檔</t>
        </is>
      </c>
    </row>
    <row r="56">
      <c r="B56" s="58" t="inlineStr">
        <is>
          <t>🆕 新標的</t>
        </is>
      </c>
      <c r="C56" s="58" t="inlineStr">
        <is>
          <t>蔣承翰</t>
        </is>
      </c>
      <c r="D56" s="58" t="inlineStr">
        <is>
          <t>high</t>
        </is>
      </c>
      <c r="E56" s="58" t="inlineStr">
        <is>
          <t>蔣承翰 今日買進 13 檔新標的 (過去從沒買過)</t>
        </is>
      </c>
      <c r="F56" s="58" t="inlineStr">
        <is>
          <t>13 檔</t>
        </is>
      </c>
    </row>
    <row r="57">
      <c r="B57" s="218" t="inlineStr">
        <is>
          <t>… 另 4 筆 anomaly (詳見當日 sheet)</t>
        </is>
      </c>
      <c r="C57" s="219" t="n"/>
      <c r="D57" s="219" t="n"/>
      <c r="E57" s="219" t="n"/>
      <c r="F57" s="219" t="n"/>
    </row>
    <row r="59" ht="22" customHeight="1">
      <c r="B59" s="41" t="inlineStr">
        <is>
          <t>▍ F. 跨日連續囤貨 Top 30 (按連續天數排序)</t>
        </is>
      </c>
    </row>
    <row r="60">
      <c r="B60" s="42" t="inlineStr">
        <is>
          <t>Master</t>
        </is>
      </c>
      <c r="C60" s="42" t="inlineStr">
        <is>
          <t>股票代號</t>
        </is>
      </c>
      <c r="D60" s="42" t="inlineStr">
        <is>
          <t>連續天數</t>
        </is>
      </c>
      <c r="E60" s="42" t="inlineStr">
        <is>
          <t>累計買金額(萬)</t>
        </is>
      </c>
      <c r="F60" s="42" t="inlineStr">
        <is>
          <t>說明</t>
        </is>
      </c>
    </row>
    <row r="61">
      <c r="B61" t="inlineStr">
        <is>
          <t>🔴 迷你哥/松山哥</t>
        </is>
      </c>
      <c r="C61" t="inlineStr">
        <is>
          <t>2327</t>
        </is>
      </c>
      <c r="D61" s="61" t="n">
        <v>11</v>
      </c>
      <c r="E61" t="n">
        <v>930975</v>
      </c>
      <c r="F61" t="inlineStr">
        <is>
          <t>迷你哥/松山哥 連續 11 天加碼 2327 (累計 930,975 萬)</t>
        </is>
      </c>
    </row>
    <row r="62">
      <c r="B62" s="58" t="inlineStr">
        <is>
          <t>🔴 陳族元</t>
        </is>
      </c>
      <c r="C62" s="58" t="inlineStr">
        <is>
          <t>1303</t>
        </is>
      </c>
      <c r="D62" s="63" t="n">
        <v>11</v>
      </c>
      <c r="E62" s="58" t="n">
        <v>546174</v>
      </c>
      <c r="F62" s="58" t="inlineStr">
        <is>
          <t>陳族元 連續 11 天加碼 1303 (累計 546,174 萬)</t>
        </is>
      </c>
    </row>
    <row r="63">
      <c r="B63" t="inlineStr">
        <is>
          <t>🔴 張濬安(航海王)</t>
        </is>
      </c>
      <c r="C63" t="inlineStr">
        <is>
          <t>3017</t>
        </is>
      </c>
      <c r="D63" s="61" t="n">
        <v>11</v>
      </c>
      <c r="E63" t="n">
        <v>540299</v>
      </c>
      <c r="F63" t="inlineStr">
        <is>
          <t>張濬安(航海王) 連續 11 天加碼 3017 (累計 540,299 萬)</t>
        </is>
      </c>
    </row>
    <row r="64">
      <c r="B64" s="58" t="inlineStr">
        <is>
          <t>🔴 張濬安(航海王)</t>
        </is>
      </c>
      <c r="C64" s="58" t="inlineStr">
        <is>
          <t>2454</t>
        </is>
      </c>
      <c r="D64" s="63" t="n">
        <v>11</v>
      </c>
      <c r="E64" s="58" t="n">
        <v>490430</v>
      </c>
      <c r="F64" s="58" t="inlineStr">
        <is>
          <t>張濬安(航海王) 連續 11 天加碼 2454 (累計 490,430 萬)</t>
        </is>
      </c>
    </row>
    <row r="65">
      <c r="B65" t="inlineStr">
        <is>
          <t>🔴 張濬安(航海王)</t>
        </is>
      </c>
      <c r="C65" t="inlineStr">
        <is>
          <t>2308</t>
        </is>
      </c>
      <c r="D65" s="61" t="n">
        <v>11</v>
      </c>
      <c r="E65" t="n">
        <v>462328</v>
      </c>
      <c r="F65" t="inlineStr">
        <is>
          <t>張濬安(航海王) 連續 11 天加碼 2308 (累計 462,328 萬)</t>
        </is>
      </c>
    </row>
    <row r="66">
      <c r="B66" s="58" t="inlineStr">
        <is>
          <t>🔴 陳族元</t>
        </is>
      </c>
      <c r="C66" s="58" t="inlineStr">
        <is>
          <t>3653</t>
        </is>
      </c>
      <c r="D66" s="63" t="n">
        <v>11</v>
      </c>
      <c r="E66" s="58" t="n">
        <v>447039</v>
      </c>
      <c r="F66" s="58" t="inlineStr">
        <is>
          <t>陳族元 連續 11 天加碼 3653 (累計 447,039 萬)</t>
        </is>
      </c>
    </row>
    <row r="67">
      <c r="B67" t="inlineStr">
        <is>
          <t>🔴 陳族元</t>
        </is>
      </c>
      <c r="C67" t="inlineStr">
        <is>
          <t>2368</t>
        </is>
      </c>
      <c r="D67" s="61" t="n">
        <v>11</v>
      </c>
      <c r="E67" t="n">
        <v>436948</v>
      </c>
      <c r="F67" t="inlineStr">
        <is>
          <t>陳族元 連續 11 天加碼 2368 (累計 436,948 萬)</t>
        </is>
      </c>
    </row>
    <row r="68">
      <c r="B68" s="58" t="inlineStr">
        <is>
          <t>🔴 陳族元</t>
        </is>
      </c>
      <c r="C68" s="58" t="inlineStr">
        <is>
          <t>3008</t>
        </is>
      </c>
      <c r="D68" s="63" t="n">
        <v>11</v>
      </c>
      <c r="E68" s="58" t="n">
        <v>301523</v>
      </c>
      <c r="F68" s="58" t="inlineStr">
        <is>
          <t>陳族元 連續 11 天加碼 3008 (累計 301,523 萬)</t>
        </is>
      </c>
    </row>
    <row r="69">
      <c r="B69" t="inlineStr">
        <is>
          <t>🔴 張濬安(航海王)</t>
        </is>
      </c>
      <c r="C69" t="inlineStr">
        <is>
          <t>2303</t>
        </is>
      </c>
      <c r="D69" s="61" t="n">
        <v>11</v>
      </c>
      <c r="E69" t="n">
        <v>247022</v>
      </c>
      <c r="F69" t="inlineStr">
        <is>
          <t>張濬安(航海王) 連續 11 天加碼 2303 (累計 247,022 萬)</t>
        </is>
      </c>
    </row>
    <row r="70">
      <c r="B70" s="58" t="inlineStr">
        <is>
          <t>🔴 張濬安(航海王)</t>
        </is>
      </c>
      <c r="C70" s="58" t="inlineStr">
        <is>
          <t>3443</t>
        </is>
      </c>
      <c r="D70" s="63" t="n">
        <v>11</v>
      </c>
      <c r="E70" s="58" t="n">
        <v>220092</v>
      </c>
      <c r="F70" s="58" t="inlineStr">
        <is>
          <t>張濬安(航海王) 連續 11 天加碼 3443 (累計 220,092 萬)</t>
        </is>
      </c>
    </row>
    <row r="72" ht="22" customHeight="1">
      <c r="B72" s="43" t="inlineStr">
        <is>
          <t>▍ J. Master × Top 3 個股 cross-table (今日)</t>
        </is>
      </c>
    </row>
    <row r="73">
      <c r="B73" s="44" t="inlineStr">
        <is>
          <t>Master</t>
        </is>
      </c>
      <c r="C73" s="44" t="inlineStr">
        <is>
          <t>今日總買(萬)</t>
        </is>
      </c>
      <c r="D73" s="44" t="inlineStr">
        <is>
          <t>Top1 個股</t>
        </is>
      </c>
      <c r="E73" s="44" t="inlineStr">
        <is>
          <t>Top1 金額</t>
        </is>
      </c>
      <c r="F73" s="44" t="inlineStr">
        <is>
          <t>Top2 個股</t>
        </is>
      </c>
      <c r="G73" s="44" t="inlineStr">
        <is>
          <t>Top2 金額</t>
        </is>
      </c>
      <c r="H73" s="44" t="inlineStr">
        <is>
          <t>Top3 個股</t>
        </is>
      </c>
      <c r="I73" s="44" t="inlineStr">
        <is>
          <t>Top3 金額</t>
        </is>
      </c>
      <c r="J73" s="44" t="inlineStr">
        <is>
          <t>Top3 合計%</t>
        </is>
      </c>
    </row>
    <row r="74">
      <c r="B74" s="35" t="inlineStr">
        <is>
          <t>張濬安(航海王)</t>
        </is>
      </c>
      <c r="C74" s="33" t="n">
        <v>1441846</v>
      </c>
      <c r="D74" t="inlineStr">
        <is>
          <t>南亞(1303)</t>
        </is>
      </c>
      <c r="E74" s="33" t="n">
        <v>345513</v>
      </c>
      <c r="F74" t="inlineStr">
        <is>
          <t>緯穎(6669)</t>
        </is>
      </c>
      <c r="G74" s="33" t="n">
        <v>93905</v>
      </c>
      <c r="H74" t="inlineStr">
        <is>
          <t>台積電(2330)</t>
        </is>
      </c>
      <c r="I74" s="33" t="n">
        <v>88758</v>
      </c>
      <c r="J74" s="185" t="n">
        <v>0.3663198358937426</v>
      </c>
    </row>
    <row r="75">
      <c r="B75" s="32" t="inlineStr">
        <is>
          <t>陳族元</t>
        </is>
      </c>
      <c r="C75" s="33" t="n">
        <v>1252303</v>
      </c>
      <c r="D75" t="inlineStr">
        <is>
          <t>台積電(2330)</t>
        </is>
      </c>
      <c r="E75" s="33" t="n">
        <v>251867</v>
      </c>
      <c r="F75" t="inlineStr">
        <is>
          <t>高力(8996)</t>
        </is>
      </c>
      <c r="G75" s="33" t="n">
        <v>140089</v>
      </c>
      <c r="H75" t="inlineStr">
        <is>
          <t>國巨*(2327)</t>
        </is>
      </c>
      <c r="I75" s="33" t="n">
        <v>93800</v>
      </c>
      <c r="J75" s="185" t="n">
        <v>0.3878895481717929</v>
      </c>
    </row>
    <row r="76">
      <c r="B76" s="38" t="inlineStr">
        <is>
          <t>蔣承翰</t>
        </is>
      </c>
      <c r="C76" s="33" t="n">
        <v>683058</v>
      </c>
      <c r="D76" t="inlineStr">
        <is>
          <t>仁寶(2324)</t>
        </is>
      </c>
      <c r="E76" s="33" t="n">
        <v>183242</v>
      </c>
      <c r="F76" t="inlineStr">
        <is>
          <t>雷虎(8033)</t>
        </is>
      </c>
      <c r="G76" s="33" t="n">
        <v>106467</v>
      </c>
      <c r="H76" t="inlineStr">
        <is>
          <t>南亞(1303)</t>
        </is>
      </c>
      <c r="I76" s="33" t="n">
        <v>105819</v>
      </c>
      <c r="J76" s="185" t="n">
        <v>0.5790557817767212</v>
      </c>
    </row>
    <row r="77">
      <c r="B77" s="37" t="inlineStr">
        <is>
          <t>林滄海</t>
        </is>
      </c>
      <c r="C77" s="33" t="n">
        <v>586769</v>
      </c>
      <c r="D77" t="inlineStr">
        <is>
          <t>仁寶(2324)</t>
        </is>
      </c>
      <c r="E77" s="33" t="n">
        <v>97217</v>
      </c>
      <c r="F77" t="inlineStr">
        <is>
          <t>台積電(2330)</t>
        </is>
      </c>
      <c r="G77" s="33" t="n">
        <v>55745</v>
      </c>
      <c r="H77" t="inlineStr">
        <is>
          <t>南電(8046)</t>
        </is>
      </c>
      <c r="I77" s="33" t="n">
        <v>47217</v>
      </c>
      <c r="J77" s="185" t="n">
        <v>0.3411539023284976</v>
      </c>
    </row>
    <row r="78">
      <c r="B78" s="46" t="inlineStr">
        <is>
          <t>強森</t>
        </is>
      </c>
      <c r="C78" s="33" t="n">
        <v>289820</v>
      </c>
      <c r="D78" t="inlineStr">
        <is>
          <t>台積電(2330)</t>
        </is>
      </c>
      <c r="E78" s="33" t="n">
        <v>24782</v>
      </c>
      <c r="F78" t="inlineStr">
        <is>
          <t>聯發科(2454)</t>
        </is>
      </c>
      <c r="G78" s="33" t="n">
        <v>22454</v>
      </c>
      <c r="H78" t="inlineStr">
        <is>
          <t>景碩(3189)</t>
        </is>
      </c>
      <c r="I78" s="33" t="n">
        <v>22005</v>
      </c>
      <c r="J78" s="185" t="n">
        <v>0.2389095856360549</v>
      </c>
    </row>
    <row r="79">
      <c r="B79" s="39" t="inlineStr">
        <is>
          <t>陳律師</t>
        </is>
      </c>
      <c r="C79" s="33" t="n">
        <v>248552</v>
      </c>
      <c r="D79" t="inlineStr">
        <is>
          <t>南亞(1303)</t>
        </is>
      </c>
      <c r="E79" s="33" t="n">
        <v>31060</v>
      </c>
      <c r="F79" t="inlineStr">
        <is>
          <t>台達電(2308)</t>
        </is>
      </c>
      <c r="G79" s="33" t="n">
        <v>27411</v>
      </c>
      <c r="H79" t="inlineStr">
        <is>
          <t>聯發科(2454)</t>
        </is>
      </c>
      <c r="I79" s="33" t="n">
        <v>18041</v>
      </c>
      <c r="J79" s="185" t="n">
        <v>0.3078271190191207</v>
      </c>
    </row>
    <row r="80">
      <c r="B80" s="51" t="inlineStr">
        <is>
          <t>巨人傑</t>
        </is>
      </c>
      <c r="C80" s="33" t="n">
        <v>138617</v>
      </c>
      <c r="D80" t="inlineStr">
        <is>
          <t>南亞(1303)</t>
        </is>
      </c>
      <c r="E80" s="33" t="n">
        <v>32342</v>
      </c>
      <c r="F80" t="inlineStr">
        <is>
          <t>華邦電(2344)</t>
        </is>
      </c>
      <c r="G80" s="33" t="n">
        <v>16102</v>
      </c>
      <c r="H80" t="inlineStr">
        <is>
          <t>南亞科(2408)</t>
        </is>
      </c>
      <c r="I80" s="33" t="n">
        <v>16072</v>
      </c>
      <c r="J80" s="185" t="n">
        <v>0.4654273757384561</v>
      </c>
    </row>
    <row r="81">
      <c r="B81" s="47" t="inlineStr">
        <is>
          <t>民哥</t>
        </is>
      </c>
      <c r="C81" s="33" t="n">
        <v>116512</v>
      </c>
      <c r="D81" t="inlineStr">
        <is>
          <t>南亞科(2408)</t>
        </is>
      </c>
      <c r="E81" s="33" t="n">
        <v>17119</v>
      </c>
      <c r="F81" t="inlineStr">
        <is>
          <t>群聯(8299)</t>
        </is>
      </c>
      <c r="G81" s="33" t="n">
        <v>9562</v>
      </c>
      <c r="H81" t="inlineStr">
        <is>
          <t>創意(3443)</t>
        </is>
      </c>
      <c r="I81" s="33" t="n">
        <v>8375</v>
      </c>
      <c r="J81" s="185" t="n">
        <v>0.3008786211904171</v>
      </c>
    </row>
    <row r="82">
      <c r="B82" s="48" t="inlineStr">
        <is>
          <t>竹科主力分點</t>
        </is>
      </c>
      <c r="C82" s="33" t="n">
        <v>106264</v>
      </c>
      <c r="D82" t="inlineStr">
        <is>
          <t>群聯(8299)</t>
        </is>
      </c>
      <c r="E82" s="33" t="n">
        <v>19824</v>
      </c>
      <c r="F82" t="inlineStr">
        <is>
          <t>金居(8358)</t>
        </is>
      </c>
      <c r="G82" s="33" t="n">
        <v>13442</v>
      </c>
      <c r="H82" t="inlineStr">
        <is>
          <t>國巨*(2327)</t>
        </is>
      </c>
      <c r="I82" s="33" t="n">
        <v>13138</v>
      </c>
      <c r="J82" s="185" t="n">
        <v>0.4366933453787483</v>
      </c>
    </row>
    <row r="83">
      <c r="B83" s="50" t="inlineStr">
        <is>
          <t>布哥/n_nchang</t>
        </is>
      </c>
      <c r="C83" s="33" t="n">
        <v>72746</v>
      </c>
      <c r="D83" t="inlineStr">
        <is>
          <t>群聯(8299)</t>
        </is>
      </c>
      <c r="E83" s="33" t="n">
        <v>22920</v>
      </c>
      <c r="F83" t="inlineStr">
        <is>
          <t>創意(3443)</t>
        </is>
      </c>
      <c r="G83" s="33" t="n">
        <v>8731</v>
      </c>
      <c r="H83" t="inlineStr">
        <is>
          <t>台積電(2330)</t>
        </is>
      </c>
      <c r="I83" s="33" t="n">
        <v>6436</v>
      </c>
      <c r="J83" s="185" t="n">
        <v>0.5235578343975311</v>
      </c>
    </row>
    <row r="84">
      <c r="B84" s="52" t="inlineStr">
        <is>
          <t>Tradow</t>
        </is>
      </c>
      <c r="C84" s="33" t="n">
        <v>48804</v>
      </c>
      <c r="D84" t="inlineStr">
        <is>
          <t>聯發科(2454)</t>
        </is>
      </c>
      <c r="E84" s="33" t="n">
        <v>5184</v>
      </c>
      <c r="F84" t="inlineStr">
        <is>
          <t>藥華藥(6446)</t>
        </is>
      </c>
      <c r="G84" s="33" t="n">
        <v>4502</v>
      </c>
      <c r="H84" t="inlineStr">
        <is>
          <t>南電(8046)</t>
        </is>
      </c>
      <c r="I84" s="33" t="n">
        <v>4453</v>
      </c>
      <c r="J84" s="185" t="n">
        <v>0.2896987529659576</v>
      </c>
    </row>
    <row r="85">
      <c r="B85" s="49" t="inlineStr">
        <is>
          <t>大牌分析師</t>
        </is>
      </c>
      <c r="C85" s="33" t="n">
        <v>44326</v>
      </c>
      <c r="D85" t="inlineStr">
        <is>
          <t>南亞(1303)</t>
        </is>
      </c>
      <c r="E85" s="33" t="n">
        <v>6424</v>
      </c>
      <c r="F85" t="inlineStr">
        <is>
          <t>台積電(2330)</t>
        </is>
      </c>
      <c r="G85" s="33" t="n">
        <v>4466</v>
      </c>
      <c r="H85" t="inlineStr">
        <is>
          <t>雍智科技(6683)</t>
        </is>
      </c>
      <c r="I85" s="33" t="n">
        <v>4233</v>
      </c>
      <c r="J85" s="185" t="n">
        <v>0.3411820708574729</v>
      </c>
    </row>
    <row r="86">
      <c r="B86" s="53" t="inlineStr">
        <is>
          <t>迷你哥/松山哥</t>
        </is>
      </c>
      <c r="C86" s="33" t="n">
        <v>37471</v>
      </c>
      <c r="D86" t="inlineStr">
        <is>
          <t>南亞科(2408)</t>
        </is>
      </c>
      <c r="E86" s="33" t="n">
        <v>7554</v>
      </c>
      <c r="F86" t="inlineStr">
        <is>
          <t>台積電(2330)</t>
        </is>
      </c>
      <c r="G86" s="33" t="n">
        <v>7050</v>
      </c>
      <c r="H86" t="inlineStr">
        <is>
          <t>國巨*(2327)</t>
        </is>
      </c>
      <c r="I86" s="33" t="n">
        <v>3913</v>
      </c>
      <c r="J86" s="185" t="n">
        <v>0.4941635487331671</v>
      </c>
    </row>
    <row r="88" ht="22" customHeight="1">
      <c r="B88" s="54" t="inlineStr">
        <is>
          <t>▍ G. 注意股 (資料日 20260813)</t>
        </is>
      </c>
    </row>
    <row r="89">
      <c r="B89" s="55" t="inlineStr">
        <is>
          <t>代號</t>
        </is>
      </c>
      <c r="C89" s="55" t="inlineStr">
        <is>
          <t>名稱</t>
        </is>
      </c>
      <c r="D89" s="55" t="inlineStr">
        <is>
          <t>累計次數</t>
        </is>
      </c>
      <c r="E89" s="55" t="inlineStr">
        <is>
          <t>收盤價</t>
        </is>
      </c>
      <c r="F89" s="55" t="inlineStr">
        <is>
          <t>本益比</t>
        </is>
      </c>
    </row>
    <row r="90">
      <c r="B90" t="inlineStr">
        <is>
          <t>035948</t>
        </is>
      </c>
      <c r="C90" t="inlineStr">
        <is>
          <t>華邦電凱基59購01</t>
        </is>
      </c>
      <c r="D90" t="n">
        <v>1</v>
      </c>
      <c r="E90" t="n">
        <v>50.5</v>
      </c>
      <c r="F90" t="inlineStr">
        <is>
          <t>-----</t>
        </is>
      </c>
    </row>
    <row r="91">
      <c r="B91" s="58" t="inlineStr">
        <is>
          <t>048845</t>
        </is>
      </c>
      <c r="C91" s="58" t="inlineStr">
        <is>
          <t>欣興凱基5C購02</t>
        </is>
      </c>
      <c r="D91" s="58" t="n">
        <v>1</v>
      </c>
      <c r="E91" s="58" t="n">
        <v>37.5</v>
      </c>
      <c r="F91" s="58" t="inlineStr">
        <is>
          <t>-----</t>
        </is>
      </c>
    </row>
    <row r="92">
      <c r="B92" t="inlineStr">
        <is>
          <t>052104</t>
        </is>
      </c>
      <c r="C92" t="inlineStr">
        <is>
          <t>友達富邦59購01</t>
        </is>
      </c>
      <c r="D92" t="n">
        <v>1</v>
      </c>
      <c r="E92" t="n">
        <v>5.2</v>
      </c>
      <c r="F92" t="inlineStr">
        <is>
          <t>-----</t>
        </is>
      </c>
    </row>
    <row r="93">
      <c r="B93" s="58" t="inlineStr">
        <is>
          <t>2059</t>
        </is>
      </c>
      <c r="C93" s="58" t="inlineStr">
        <is>
          <t>川湖</t>
        </is>
      </c>
      <c r="D93" s="58" t="n">
        <v>1</v>
      </c>
      <c r="E93" s="58" t="n">
        <v>12235</v>
      </c>
      <c r="F93" s="58" t="inlineStr">
        <is>
          <t>67.45</t>
        </is>
      </c>
    </row>
    <row r="94">
      <c r="B94" t="inlineStr">
        <is>
          <t>2454</t>
        </is>
      </c>
      <c r="C94" t="inlineStr">
        <is>
          <t>聯發科</t>
        </is>
      </c>
      <c r="D94" t="n">
        <v>1</v>
      </c>
      <c r="E94" t="n">
        <v>4225</v>
      </c>
      <c r="F94" t="inlineStr">
        <is>
          <t>69.78</t>
        </is>
      </c>
    </row>
    <row r="95">
      <c r="B95" s="58" t="inlineStr">
        <is>
          <t>2465</t>
        </is>
      </c>
      <c r="C95" s="58" t="inlineStr">
        <is>
          <t>麗臺</t>
        </is>
      </c>
      <c r="D95" s="58" t="n">
        <v>1</v>
      </c>
      <c r="E95" s="58" t="n">
        <v>105</v>
      </c>
      <c r="F95" s="58" t="inlineStr">
        <is>
          <t>38.75</t>
        </is>
      </c>
    </row>
    <row r="96">
      <c r="B96" t="inlineStr">
        <is>
          <t>2484</t>
        </is>
      </c>
      <c r="C96" t="inlineStr">
        <is>
          <t>希華</t>
        </is>
      </c>
      <c r="D96" t="n">
        <v>1</v>
      </c>
      <c r="E96" t="n">
        <v>75.90000000000001</v>
      </c>
      <c r="F96" t="inlineStr">
        <is>
          <t>54.60</t>
        </is>
      </c>
    </row>
    <row r="97">
      <c r="B97" s="58" t="inlineStr">
        <is>
          <t>3026</t>
        </is>
      </c>
      <c r="C97" s="58" t="inlineStr">
        <is>
          <t>禾伸堂</t>
        </is>
      </c>
      <c r="D97" s="58" t="n">
        <v>1</v>
      </c>
      <c r="E97" s="58" t="n">
        <v>691</v>
      </c>
      <c r="F97" s="58" t="inlineStr">
        <is>
          <t>67.41</t>
        </is>
      </c>
    </row>
    <row r="98">
      <c r="B98" t="inlineStr">
        <is>
          <t>3443</t>
        </is>
      </c>
      <c r="C98" t="inlineStr">
        <is>
          <t>創意</t>
        </is>
      </c>
      <c r="D98" t="n">
        <v>1</v>
      </c>
      <c r="E98" t="n">
        <v>5540</v>
      </c>
      <c r="F98" t="inlineStr">
        <is>
          <t>142.01</t>
        </is>
      </c>
    </row>
    <row r="99">
      <c r="B99" s="58" t="inlineStr">
        <is>
          <t>6213</t>
        </is>
      </c>
      <c r="C99" s="58" t="inlineStr">
        <is>
          <t>聯茂</t>
        </is>
      </c>
      <c r="D99" s="58" t="n">
        <v>1</v>
      </c>
      <c r="E99" s="58" t="n">
        <v>469</v>
      </c>
      <c r="F99" s="58" t="inlineStr">
        <is>
          <t>72.71</t>
        </is>
      </c>
    </row>
    <row r="100">
      <c r="B100" t="inlineStr">
        <is>
          <t>6225</t>
        </is>
      </c>
      <c r="C100" t="inlineStr">
        <is>
          <t>天瀚</t>
        </is>
      </c>
      <c r="D100" t="n">
        <v>1</v>
      </c>
      <c r="E100" t="n">
        <v>36.75</v>
      </c>
      <c r="F100" t="inlineStr">
        <is>
          <t>-----</t>
        </is>
      </c>
    </row>
    <row r="101">
      <c r="B101" s="58" t="inlineStr">
        <is>
          <t>6834</t>
        </is>
      </c>
      <c r="C101" s="58" t="inlineStr">
        <is>
          <t>天二科技</t>
        </is>
      </c>
      <c r="D101" s="58" t="n">
        <v>1</v>
      </c>
      <c r="E101" s="58" t="n">
        <v>107.5</v>
      </c>
      <c r="F101" s="58" t="inlineStr">
        <is>
          <t>46.74</t>
        </is>
      </c>
    </row>
    <row r="102">
      <c r="B102" t="inlineStr">
        <is>
          <t>7711</t>
        </is>
      </c>
      <c r="C102" t="inlineStr">
        <is>
          <t>永擎</t>
        </is>
      </c>
      <c r="D102" t="n">
        <v>1</v>
      </c>
      <c r="E102" t="n">
        <v>491.5</v>
      </c>
      <c r="F102" t="inlineStr">
        <is>
          <t>21.63</t>
        </is>
      </c>
    </row>
    <row r="103">
      <c r="B103" s="58" t="inlineStr">
        <is>
          <t>7788</t>
        </is>
      </c>
      <c r="C103" s="58" t="inlineStr">
        <is>
          <t>松川精密</t>
        </is>
      </c>
      <c r="D103" s="58" t="n">
        <v>1</v>
      </c>
      <c r="E103" s="58" t="n">
        <v>275.5</v>
      </c>
      <c r="F103" s="58" t="inlineStr">
        <is>
          <t>33.15</t>
        </is>
      </c>
    </row>
    <row r="104">
      <c r="B104" t="inlineStr">
        <is>
          <t>7795</t>
        </is>
      </c>
      <c r="C104" t="inlineStr">
        <is>
          <t>長廣</t>
        </is>
      </c>
      <c r="D104" t="n">
        <v>1</v>
      </c>
      <c r="E104" t="n">
        <v>556</v>
      </c>
      <c r="F104" t="inlineStr">
        <is>
          <t>246.02</t>
        </is>
      </c>
    </row>
    <row r="106" ht="22" customHeight="1">
      <c r="B106" s="4" t="inlineStr">
        <is>
          <t>▍ H. 借券賣出 Top 15 (機構級反向力量, 資料日 20260814)</t>
        </is>
      </c>
    </row>
    <row r="107">
      <c r="B107" s="12" t="inlineStr">
        <is>
          <t>代號</t>
        </is>
      </c>
      <c r="C107" s="12" t="inlineStr">
        <is>
          <t>名稱</t>
        </is>
      </c>
      <c r="D107" s="12" t="inlineStr">
        <is>
          <t>借券張數</t>
        </is>
      </c>
      <c r="E107" s="12" t="inlineStr">
        <is>
          <t>融券張數</t>
        </is>
      </c>
      <c r="F107" s="12" t="inlineStr">
        <is>
          <t>ratio</t>
        </is>
      </c>
    </row>
    <row r="108">
      <c r="B108" t="inlineStr">
        <is>
          <t>00878</t>
        </is>
      </c>
      <c r="C108" t="inlineStr">
        <is>
          <t>國泰永續高股息</t>
        </is>
      </c>
      <c r="D108" s="33" t="n">
        <v>12496</v>
      </c>
      <c r="E108" s="33" t="n">
        <v>0</v>
      </c>
      <c r="F108" t="inlineStr">
        <is>
          <t>—</t>
        </is>
      </c>
    </row>
    <row r="109">
      <c r="B109" s="58" t="inlineStr">
        <is>
          <t>2834</t>
        </is>
      </c>
      <c r="C109" s="58" t="inlineStr">
        <is>
          <t>臺企銀</t>
        </is>
      </c>
      <c r="D109" s="59" t="n">
        <v>12231</v>
      </c>
      <c r="E109" s="59" t="n">
        <v>14</v>
      </c>
      <c r="F109" s="187" t="n">
        <v>873.64</v>
      </c>
    </row>
    <row r="110">
      <c r="B110" t="inlineStr">
        <is>
          <t>2887</t>
        </is>
      </c>
      <c r="C110" t="inlineStr">
        <is>
          <t>台新新光金</t>
        </is>
      </c>
      <c r="D110" s="33" t="n">
        <v>8505</v>
      </c>
      <c r="E110" s="33" t="n">
        <v>632</v>
      </c>
      <c r="F110" s="186" t="n">
        <v>13.46</v>
      </c>
    </row>
    <row r="111">
      <c r="B111" s="58" t="inlineStr">
        <is>
          <t>2880</t>
        </is>
      </c>
      <c r="C111" s="58" t="inlineStr">
        <is>
          <t>華南金</t>
        </is>
      </c>
      <c r="D111" s="59" t="n">
        <v>8009</v>
      </c>
      <c r="E111" s="59" t="n">
        <v>837</v>
      </c>
      <c r="F111" s="187" t="n">
        <v>9.57</v>
      </c>
    </row>
    <row r="112">
      <c r="B112" t="inlineStr">
        <is>
          <t>6770</t>
        </is>
      </c>
      <c r="C112" t="inlineStr">
        <is>
          <t>力積電</t>
        </is>
      </c>
      <c r="D112" s="33" t="n">
        <v>8008</v>
      </c>
      <c r="E112" s="33" t="n">
        <v>1346</v>
      </c>
      <c r="F112" s="186" t="n">
        <v>5.95</v>
      </c>
    </row>
    <row r="113">
      <c r="B113" s="58" t="inlineStr">
        <is>
          <t>00403A</t>
        </is>
      </c>
      <c r="C113" s="58" t="inlineStr">
        <is>
          <t>主動統一升級50</t>
        </is>
      </c>
      <c r="D113" s="59" t="n">
        <v>7349</v>
      </c>
      <c r="E113" s="59" t="n">
        <v>262</v>
      </c>
      <c r="F113" s="187" t="n">
        <v>28.05</v>
      </c>
    </row>
    <row r="114">
      <c r="B114" t="inlineStr">
        <is>
          <t>00984D</t>
        </is>
      </c>
      <c r="C114" t="inlineStr">
        <is>
          <t>主動聯博全球非投</t>
        </is>
      </c>
      <c r="D114" s="33" t="n">
        <v>6326</v>
      </c>
      <c r="E114" s="33" t="n">
        <v>0</v>
      </c>
      <c r="F114" t="inlineStr">
        <is>
          <t>—</t>
        </is>
      </c>
    </row>
    <row r="115">
      <c r="B115" s="58" t="inlineStr">
        <is>
          <t>3481</t>
        </is>
      </c>
      <c r="C115" s="58" t="inlineStr">
        <is>
          <t>群創</t>
        </is>
      </c>
      <c r="D115" s="59" t="n">
        <v>6297</v>
      </c>
      <c r="E115" s="59" t="n">
        <v>804</v>
      </c>
      <c r="F115" s="187" t="n">
        <v>7.83</v>
      </c>
    </row>
    <row r="116">
      <c r="B116" t="inlineStr">
        <is>
          <t>2890</t>
        </is>
      </c>
      <c r="C116" t="inlineStr">
        <is>
          <t>永豐金</t>
        </is>
      </c>
      <c r="D116" s="33" t="n">
        <v>5390</v>
      </c>
      <c r="E116" s="33" t="n">
        <v>383</v>
      </c>
      <c r="F116" s="186" t="n">
        <v>14.07</v>
      </c>
    </row>
    <row r="117">
      <c r="B117" s="58" t="inlineStr">
        <is>
          <t>2449</t>
        </is>
      </c>
      <c r="C117" s="58" t="inlineStr">
        <is>
          <t>京元電子</t>
        </is>
      </c>
      <c r="D117" s="59" t="n">
        <v>4376</v>
      </c>
      <c r="E117" s="59" t="n">
        <v>48</v>
      </c>
      <c r="F117" s="187" t="n">
        <v>91.17</v>
      </c>
    </row>
    <row r="118">
      <c r="B118" t="inlineStr">
        <is>
          <t>3231</t>
        </is>
      </c>
      <c r="C118" t="inlineStr">
        <is>
          <t>緯創</t>
        </is>
      </c>
      <c r="D118" s="33" t="n">
        <v>4271</v>
      </c>
      <c r="E118" s="33" t="n">
        <v>88</v>
      </c>
      <c r="F118" s="186" t="n">
        <v>48.53</v>
      </c>
    </row>
    <row r="119">
      <c r="B119" s="58" t="inlineStr">
        <is>
          <t>2812</t>
        </is>
      </c>
      <c r="C119" s="58" t="inlineStr">
        <is>
          <t>台中銀</t>
        </is>
      </c>
      <c r="D119" s="59" t="n">
        <v>4028</v>
      </c>
      <c r="E119" s="59" t="n">
        <v>0</v>
      </c>
      <c r="F119" s="58" t="inlineStr">
        <is>
          <t>—</t>
        </is>
      </c>
    </row>
    <row r="120">
      <c r="B120" t="inlineStr">
        <is>
          <t>2409</t>
        </is>
      </c>
      <c r="C120" t="inlineStr">
        <is>
          <t>友達</t>
        </is>
      </c>
      <c r="D120" s="33" t="n">
        <v>3813</v>
      </c>
      <c r="E120" s="33" t="n">
        <v>755</v>
      </c>
      <c r="F120" s="186" t="n">
        <v>5.05</v>
      </c>
    </row>
    <row r="121">
      <c r="B121" s="58" t="inlineStr">
        <is>
          <t>1101</t>
        </is>
      </c>
      <c r="C121" s="58" t="inlineStr">
        <is>
          <t>台泥</t>
        </is>
      </c>
      <c r="D121" s="59" t="n">
        <v>3581</v>
      </c>
      <c r="E121" s="59" t="n">
        <v>10</v>
      </c>
      <c r="F121" s="187" t="n">
        <v>358.1</v>
      </c>
    </row>
    <row r="122">
      <c r="B122" t="inlineStr">
        <is>
          <t>2886</t>
        </is>
      </c>
      <c r="C122" t="inlineStr">
        <is>
          <t>兆豐金</t>
        </is>
      </c>
      <c r="D122" s="33" t="n">
        <v>3117</v>
      </c>
      <c r="E122" s="33" t="n">
        <v>248</v>
      </c>
      <c r="F122" s="186" t="n">
        <v>12.57</v>
      </c>
    </row>
    <row r="124" ht="22" customHeight="1">
      <c r="B124" s="65" t="inlineStr">
        <is>
          <t>▍ I. 未來 30 天除權息 (有效 122 檔, 已剔除過期)</t>
        </is>
      </c>
    </row>
    <row r="125">
      <c r="B125" s="55" t="inlineStr">
        <is>
          <t>除權息日</t>
        </is>
      </c>
      <c r="C125" s="55" t="inlineStr">
        <is>
          <t>代號</t>
        </is>
      </c>
      <c r="D125" s="55" t="inlineStr">
        <is>
          <t>名稱</t>
        </is>
      </c>
      <c r="E125" s="55" t="inlineStr">
        <is>
          <t>類型</t>
        </is>
      </c>
      <c r="F125" s="55" t="inlineStr">
        <is>
          <t>現金股利</t>
        </is>
      </c>
    </row>
    <row r="126">
      <c r="B126" t="inlineStr">
        <is>
          <t>20260814</t>
        </is>
      </c>
      <c r="C126" t="inlineStr">
        <is>
          <t>00401A</t>
        </is>
      </c>
      <c r="D126" t="inlineStr">
        <is>
          <t>主動摩根台灣鑫收</t>
        </is>
      </c>
      <c r="E126" t="inlineStr">
        <is>
          <t>息</t>
        </is>
      </c>
      <c r="F126" t="n">
        <v>0.121</v>
      </c>
    </row>
    <row r="127">
      <c r="B127" s="58" t="inlineStr">
        <is>
          <t>20260817</t>
        </is>
      </c>
      <c r="C127" s="58" t="inlineStr">
        <is>
          <t>00775B</t>
        </is>
      </c>
      <c r="D127" s="58" t="inlineStr">
        <is>
          <t>台新投等債15+</t>
        </is>
      </c>
      <c r="E127" s="58" t="inlineStr">
        <is>
          <t>息</t>
        </is>
      </c>
      <c r="F127" s="58" t="n">
        <v>0.35</v>
      </c>
    </row>
    <row r="128">
      <c r="B128" t="inlineStr">
        <is>
          <t>20260817</t>
        </is>
      </c>
      <c r="C128" t="inlineStr">
        <is>
          <t>00936</t>
        </is>
      </c>
      <c r="D128" t="inlineStr">
        <is>
          <t>台新永續高息中小</t>
        </is>
      </c>
      <c r="E128" t="inlineStr">
        <is>
          <t>息</t>
        </is>
      </c>
      <c r="F128" t="n">
        <v>0.12</v>
      </c>
    </row>
    <row r="129">
      <c r="B129" s="58" t="inlineStr">
        <is>
          <t>20260817</t>
        </is>
      </c>
      <c r="C129" s="58" t="inlineStr">
        <is>
          <t>00962</t>
        </is>
      </c>
      <c r="D129" s="58" t="inlineStr">
        <is>
          <t>台新AI優息動能</t>
        </is>
      </c>
      <c r="E129" s="58" t="inlineStr">
        <is>
          <t>息</t>
        </is>
      </c>
      <c r="F129" s="58" t="n">
        <v>0.16</v>
      </c>
    </row>
    <row r="130">
      <c r="B130" t="inlineStr">
        <is>
          <t>20260817</t>
        </is>
      </c>
      <c r="C130" t="inlineStr">
        <is>
          <t>1477</t>
        </is>
      </c>
      <c r="D130" t="inlineStr">
        <is>
          <t>聚陽</t>
        </is>
      </c>
      <c r="E130" t="inlineStr">
        <is>
          <t>息</t>
        </is>
      </c>
      <c r="F130" t="n">
        <v>6</v>
      </c>
    </row>
    <row r="131">
      <c r="B131" s="58" t="inlineStr">
        <is>
          <t>20260817</t>
        </is>
      </c>
      <c r="C131" s="58" t="inlineStr">
        <is>
          <t>1618</t>
        </is>
      </c>
      <c r="D131" s="58" t="inlineStr">
        <is>
          <t>合機</t>
        </is>
      </c>
      <c r="E131" s="58" t="inlineStr">
        <is>
          <t>息</t>
        </is>
      </c>
      <c r="F131" s="58" t="n">
        <v>1.7</v>
      </c>
    </row>
    <row r="132">
      <c r="B132" t="inlineStr">
        <is>
          <t>20260817</t>
        </is>
      </c>
      <c r="C132" t="inlineStr">
        <is>
          <t>2231</t>
        </is>
      </c>
      <c r="D132" t="inlineStr">
        <is>
          <t>為升</t>
        </is>
      </c>
      <c r="E132" t="inlineStr">
        <is>
          <t>息</t>
        </is>
      </c>
      <c r="F132" t="n">
        <v>0.5</v>
      </c>
    </row>
    <row r="133">
      <c r="B133" s="58" t="inlineStr">
        <is>
          <t>20260817</t>
        </is>
      </c>
      <c r="C133" s="58" t="inlineStr">
        <is>
          <t>4967</t>
        </is>
      </c>
      <c r="D133" s="58" t="inlineStr">
        <is>
          <t>十銓</t>
        </is>
      </c>
      <c r="E133" s="58" t="inlineStr">
        <is>
          <t>息</t>
        </is>
      </c>
      <c r="F133" s="58" t="n">
        <v>8.619904</v>
      </c>
    </row>
    <row r="134">
      <c r="B134" t="inlineStr">
        <is>
          <t>20260817</t>
        </is>
      </c>
      <c r="C134" t="inlineStr">
        <is>
          <t>6282</t>
        </is>
      </c>
      <c r="D134" t="inlineStr">
        <is>
          <t>康舒</t>
        </is>
      </c>
      <c r="E134" t="inlineStr">
        <is>
          <t>息</t>
        </is>
      </c>
      <c r="F134" t="n">
        <v>0.799933</v>
      </c>
    </row>
    <row r="135">
      <c r="B135" s="58" t="inlineStr">
        <is>
          <t>20260817</t>
        </is>
      </c>
      <c r="C135" s="58" t="inlineStr">
        <is>
          <t>6698</t>
        </is>
      </c>
      <c r="D135" s="58" t="inlineStr">
        <is>
          <t>旭暉應材</t>
        </is>
      </c>
      <c r="E135" s="58" t="inlineStr">
        <is>
          <t>權</t>
        </is>
      </c>
      <c r="F135" s="58" t="n">
        <v>0</v>
      </c>
    </row>
    <row r="136">
      <c r="B136" t="inlineStr">
        <is>
          <t>20260818</t>
        </is>
      </c>
      <c r="C136" t="inlineStr">
        <is>
          <t>00690</t>
        </is>
      </c>
      <c r="D136" t="inlineStr">
        <is>
          <t>兆豐藍籌30</t>
        </is>
      </c>
      <c r="E136" t="inlineStr">
        <is>
          <t>息</t>
        </is>
      </c>
      <c r="F136" t="n">
        <v>2.19</v>
      </c>
    </row>
    <row r="137">
      <c r="B137" s="58" t="inlineStr">
        <is>
          <t>20260818</t>
        </is>
      </c>
      <c r="C137" s="58" t="inlineStr">
        <is>
          <t>00701</t>
        </is>
      </c>
      <c r="D137" s="58" t="inlineStr">
        <is>
          <t>國泰股利精選30</t>
        </is>
      </c>
      <c r="E137" s="58" t="inlineStr">
        <is>
          <t>息</t>
        </is>
      </c>
      <c r="F137" s="58" t="n"/>
    </row>
    <row r="138">
      <c r="B138" t="inlineStr">
        <is>
          <t>20260818</t>
        </is>
      </c>
      <c r="C138" t="inlineStr">
        <is>
          <t>00730</t>
        </is>
      </c>
      <c r="D138" t="inlineStr">
        <is>
          <t>富邦臺灣優質高息</t>
        </is>
      </c>
      <c r="E138" t="inlineStr">
        <is>
          <t>息</t>
        </is>
      </c>
    </row>
    <row r="139">
      <c r="B139" s="58" t="inlineStr">
        <is>
          <t>20260818</t>
        </is>
      </c>
      <c r="C139" s="58" t="inlineStr">
        <is>
          <t>00878</t>
        </is>
      </c>
      <c r="D139" s="58" t="inlineStr">
        <is>
          <t>國泰永續高股息</t>
        </is>
      </c>
      <c r="E139" s="58" t="inlineStr">
        <is>
          <t>息</t>
        </is>
      </c>
      <c r="F139" s="58" t="n"/>
    </row>
    <row r="140">
      <c r="B140" t="inlineStr">
        <is>
          <t>20260818</t>
        </is>
      </c>
      <c r="C140" t="inlineStr">
        <is>
          <t>00881</t>
        </is>
      </c>
      <c r="D140" t="inlineStr">
        <is>
          <t>國泰台灣科技龍頭</t>
        </is>
      </c>
      <c r="E140" t="inlineStr">
        <is>
          <t>息</t>
        </is>
      </c>
    </row>
  </sheetData>
  <mergeCells count="28">
    <mergeCell ref="B9:N9"/>
    <mergeCell ref="B88:J88"/>
    <mergeCell ref="B33:N33"/>
    <mergeCell ref="B36:E36"/>
    <mergeCell ref="B4:N4"/>
    <mergeCell ref="B7:N7"/>
    <mergeCell ref="C31:D31"/>
    <mergeCell ref="B3:N3"/>
    <mergeCell ref="B6:J6"/>
    <mergeCell ref="B30:J30"/>
    <mergeCell ref="B57:F57"/>
    <mergeCell ref="B124:J124"/>
    <mergeCell ref="G32:I32"/>
    <mergeCell ref="B45:J45"/>
    <mergeCell ref="G31:I31"/>
    <mergeCell ref="B12:N12"/>
    <mergeCell ref="B106:J106"/>
    <mergeCell ref="B11:N11"/>
    <mergeCell ref="B2:N2"/>
    <mergeCell ref="F36:I36"/>
    <mergeCell ref="B72:J72"/>
    <mergeCell ref="B14:N14"/>
    <mergeCell ref="B59:J59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7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7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4:C8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4:J8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0:D104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8:D122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8:F122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2026/08/14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245" t="inlineStr">
        <is>
          <t>⭐ Quad 命中 (78.9% alpha)</t>
        </is>
      </c>
    </row>
    <row r="8">
      <c r="C8" s="246" t="inlineStr">
        <is>
          <t>🎯 台積電 (2330) · 11 大戶</t>
        </is>
      </c>
    </row>
    <row r="9">
      <c r="C9" s="246" t="inlineStr">
        <is>
          <t>🎯 國巨* (2327) · 12 大戶</t>
        </is>
      </c>
    </row>
    <row r="10">
      <c r="C10" s="246" t="inlineStr">
        <is>
          <t>🎯 群聯 (8299) · 12 大戶</t>
        </is>
      </c>
    </row>
    <row r="11">
      <c r="C11" s="246" t="inlineStr">
        <is>
          <t>🎯 嘉澤 (3533) · 11 大戶</t>
        </is>
      </c>
    </row>
    <row r="12">
      <c r="C12" s="246" t="inlineStr">
        <is>
          <t>🎯 華新科 (2492) · 10 大戶</t>
        </is>
      </c>
    </row>
    <row r="14">
      <c r="C14" s="67" t="inlineStr">
        <is>
          <t>🎯 強共識買超 Top 5</t>
        </is>
      </c>
    </row>
    <row r="15">
      <c r="C15" s="69" t="inlineStr">
        <is>
          <t>⭐ 台積電 (2330) · 11 大戶</t>
        </is>
      </c>
    </row>
    <row r="16">
      <c r="C16" s="69" t="inlineStr">
        <is>
          <t>⭐ 國巨* (2327) · 12 大戶</t>
        </is>
      </c>
    </row>
    <row r="17">
      <c r="C17" s="69" t="inlineStr">
        <is>
          <t>⭐ 群聯 (8299) · 12 大戶</t>
        </is>
      </c>
    </row>
    <row r="18">
      <c r="C18" s="69" t="inlineStr">
        <is>
          <t>⭐ 嘉澤 (3533) · 11 大戶</t>
        </is>
      </c>
    </row>
    <row r="19">
      <c r="C19" s="69" t="inlineStr">
        <is>
          <t>⑤ 聯電 (2303) · 10 大戶</t>
        </is>
      </c>
    </row>
    <row r="21">
      <c r="C21" s="67" t="inlineStr">
        <is>
          <t>📊 共識集中產業</t>
        </is>
      </c>
    </row>
    <row r="22">
      <c r="C22" s="69" t="inlineStr">
        <is>
          <t>半導體業 · 5 檔 (38%)</t>
        </is>
      </c>
    </row>
    <row r="23">
      <c r="C23" s="69" t="inlineStr">
        <is>
          <t>電子零組件業 · 4 檔 (31%)</t>
        </is>
      </c>
    </row>
    <row r="24">
      <c r="C24" s="69" t="inlineStr">
        <is>
          <t>其他電子業 · 1 檔 (8%)</t>
        </is>
      </c>
    </row>
    <row r="26">
      <c r="C26" s="67" t="inlineStr">
        <is>
          <t>📌 大牌分析師 今日 Top 3</t>
        </is>
      </c>
    </row>
    <row r="27">
      <c r="C27" s="69" t="inlineStr">
        <is>
          <t>南亞 (1303) · 6,424 萬</t>
        </is>
      </c>
    </row>
    <row r="28">
      <c r="C28" s="69" t="inlineStr">
        <is>
          <t>台積電 (2330) · 4,466 萬 (★共識)</t>
        </is>
      </c>
    </row>
    <row r="29">
      <c r="C29" s="69" t="inlineStr">
        <is>
          <t>雍智科技 (6683) · 4,233 萬</t>
        </is>
      </c>
    </row>
    <row r="31">
      <c r="C31" s="70" t="inlineStr">
        <is>
          <t>⚠️ Mild_up watch (反向參考)</t>
        </is>
      </c>
    </row>
    <row r="32">
      <c r="C32" s="71" t="inlineStr">
        <is>
          <t>(歷史 41.7% hit, 平均 -0.72% — 別追)</t>
        </is>
      </c>
    </row>
    <row r="33">
      <c r="C33" s="72" t="inlineStr">
        <is>
          <t>⚠️ 京元電子 (2449) · 11 大戶</t>
        </is>
      </c>
    </row>
    <row r="35">
      <c r="C35" s="67" t="inlineStr">
        <is>
          <t>🚫 今日避開</t>
        </is>
      </c>
    </row>
    <row r="36">
      <c r="C36" s="69" t="inlineStr">
        <is>
          <t>除權息 1 檔 (00401A)</t>
        </is>
      </c>
    </row>
    <row r="37">
      <c r="C37" s="69" t="inlineStr">
        <is>
          <t>明日恐處置 2 檔 (7795 / 8033)</t>
        </is>
      </c>
    </row>
    <row r="39">
      <c r="C39" s="67" t="inlineStr">
        <is>
          <t>📊 追蹤池方向</t>
        </is>
      </c>
    </row>
    <row r="40" ht="22" customHeight="1">
      <c r="C40" s="198" t="inlineStr">
        <is>
          <t>-79 億 淨買</t>
        </is>
      </c>
    </row>
    <row r="41">
      <c r="C41" s="71" t="inlineStr">
        <is>
          <t>比昨 -158 反彈 / 比 5d -65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247" t="inlineStr">
        <is>
          <t>累積: 3/10 = 30.0% (mean -0.73%)   |  30d: 3/10 = 30.0%  |  預期 78.9% (delta -48.9pp)</t>
        </is>
      </c>
    </row>
    <row r="5" ht="22" customHeight="1">
      <c r="B5" s="248" t="inlineStr">
        <is>
          <t>日期</t>
        </is>
      </c>
      <c r="C5" s="248" t="inlineStr">
        <is>
          <t>隔日</t>
        </is>
      </c>
      <c r="D5" s="248" t="inlineStr">
        <is>
          <t>Q5</t>
        </is>
      </c>
      <c r="E5" s="248" t="inlineStr">
        <is>
          <t>Vol_spike masters</t>
        </is>
      </c>
      <c r="F5" s="248" t="inlineStr">
        <is>
          <t>picks</t>
        </is>
      </c>
      <c r="G5" s="248" t="inlineStr">
        <is>
          <t>hits</t>
        </is>
      </c>
      <c r="H5" s="248" t="inlineStr">
        <is>
          <t>命中率</t>
        </is>
      </c>
      <c r="I5" s="248" t="inlineStr">
        <is>
          <t>mean%</t>
        </is>
      </c>
      <c r="J5" s="248" t="inlineStr">
        <is>
          <t>備註 (前 3 picks)</t>
        </is>
      </c>
    </row>
    <row r="6">
      <c r="B6" s="249" t="inlineStr">
        <is>
          <t>2026/08/13</t>
        </is>
      </c>
      <c r="C6" s="249" t="inlineStr">
        <is>
          <t>08/14</t>
        </is>
      </c>
      <c r="D6" s="250" t="inlineStr">
        <is>
          <t>偏多</t>
        </is>
      </c>
      <c r="E6" s="71" t="inlineStr">
        <is>
          <t>迷你哥/松山哥</t>
        </is>
      </c>
      <c r="F6" s="249" t="n">
        <v>10</v>
      </c>
      <c r="G6" s="251" t="n">
        <v>3</v>
      </c>
      <c r="H6" s="252" t="n">
        <v>30</v>
      </c>
      <c r="I6" s="253" t="n">
        <v>-0.73</v>
      </c>
      <c r="J6" s="71" t="inlineStr">
        <is>
          <t>京元電子(2449) -2.6% / 鴻海(2317) -0.9% / 嘉澤(3533) -5.0% +7</t>
        </is>
      </c>
    </row>
    <row r="8">
      <c r="B8" s="254" t="inlineStr">
        <is>
          <t>Per-Master Vol_Spike 可靠度 (排序 by 命中率)</t>
        </is>
      </c>
    </row>
    <row r="9">
      <c r="B9" s="248" t="inlineStr">
        <is>
          <t>Master</t>
        </is>
      </c>
      <c r="C9" s="248" t="inlineStr">
        <is>
          <t>trigger days</t>
        </is>
      </c>
      <c r="D9" s="248" t="inlineStr">
        <is>
          <t>all picks</t>
        </is>
      </c>
      <c r="E9" s="248" t="inlineStr">
        <is>
          <t>hits</t>
        </is>
      </c>
      <c r="F9" s="248" t="inlineStr">
        <is>
          <t>命中率</t>
        </is>
      </c>
      <c r="G9" s="248" t="inlineStr">
        <is>
          <t>mean%</t>
        </is>
      </c>
    </row>
    <row r="10">
      <c r="B10" s="249" t="inlineStr">
        <is>
          <t>迷你哥/松山哥</t>
        </is>
      </c>
      <c r="C10" s="255" t="n">
        <v>1</v>
      </c>
      <c r="D10" s="255" t="n">
        <v>10</v>
      </c>
      <c r="E10" s="255" t="n">
        <v>3</v>
      </c>
      <c r="F10" s="256" t="n">
        <v>30</v>
      </c>
      <c r="G10" s="253" t="n">
        <v>-0.7270000000000001</v>
      </c>
    </row>
    <row r="12" ht="70" customHeight="1">
      <c r="B12" s="257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13"/>
    <row r="14"/>
    <row r="15"/>
  </sheetData>
  <mergeCells count="2">
    <mergeCell ref="B12:J15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258" t="inlineStr">
        <is>
          <t>miss 7/10 (70.0%) | 預期 miss rate 21.1% | 差異 +48.9pp</t>
        </is>
      </c>
    </row>
    <row r="4" ht="18" customHeight="1">
      <c r="B4" s="259" t="inlineStr">
        <is>
          <t>歸因分布: 個股弱勢 (跑輸大盤 &gt;2pp): 5 | alpha noise (個股無系統性原因): 2 | 假共識 (領頭獨佔 ≥50%): 1</t>
        </is>
      </c>
    </row>
    <row r="6" ht="22" customHeight="1">
      <c r="B6" s="260" t="inlineStr">
        <is>
          <t>日期</t>
        </is>
      </c>
      <c r="C6" s="260" t="inlineStr">
        <is>
          <t>隔日</t>
        </is>
      </c>
      <c r="D6" s="260" t="inlineStr">
        <is>
          <t>股票</t>
        </is>
      </c>
      <c r="E6" s="260" t="inlineStr">
        <is>
          <t>漲跌</t>
        </is>
      </c>
      <c r="F6" s="260" t="inlineStr">
        <is>
          <t>TAIEX</t>
        </is>
      </c>
      <c r="G6" s="260" t="inlineStr">
        <is>
          <t>超額</t>
        </is>
      </c>
      <c r="H6" s="260" t="inlineStr">
        <is>
          <t>領頭%</t>
        </is>
      </c>
      <c r="I6" s="260" t="inlineStr">
        <is>
          <t>Q5%</t>
        </is>
      </c>
      <c r="J6" s="260" t="inlineStr">
        <is>
          <t>觸發 master</t>
        </is>
      </c>
      <c r="K6" s="260" t="inlineStr">
        <is>
          <t>歸因</t>
        </is>
      </c>
    </row>
    <row r="7">
      <c r="B7" s="249" t="inlineStr">
        <is>
          <t>2026/08/13</t>
        </is>
      </c>
      <c r="C7" s="249" t="inlineStr">
        <is>
          <t>08/14</t>
        </is>
      </c>
      <c r="D7" s="249" t="inlineStr">
        <is>
          <t>京元電子(2449)</t>
        </is>
      </c>
      <c r="E7" s="253" t="n">
        <v>-2.56</v>
      </c>
      <c r="F7" s="261" t="n">
        <v>1.11</v>
      </c>
      <c r="G7" s="262" t="n">
        <v>-3.67</v>
      </c>
      <c r="H7" s="263" t="n">
        <v>25.7</v>
      </c>
      <c r="I7" s="264" t="n">
        <v>95</v>
      </c>
      <c r="J7" s="71" t="inlineStr">
        <is>
          <t>迷你哥/松山哥</t>
        </is>
      </c>
      <c r="K7" s="265" t="inlineStr">
        <is>
          <t>個股弱勢 (跑輸大盤 &gt;2pp)</t>
        </is>
      </c>
    </row>
    <row r="8">
      <c r="B8" s="249" t="inlineStr">
        <is>
          <t>2026/08/13</t>
        </is>
      </c>
      <c r="C8" s="249" t="inlineStr">
        <is>
          <t>08/14</t>
        </is>
      </c>
      <c r="D8" s="249" t="inlineStr">
        <is>
          <t>鴻海(2317)</t>
        </is>
      </c>
      <c r="E8" s="253" t="n">
        <v>-0.95</v>
      </c>
      <c r="F8" s="261" t="n">
        <v>1.11</v>
      </c>
      <c r="G8" s="262" t="n">
        <v>-2.06</v>
      </c>
      <c r="H8" s="263" t="n">
        <v>30.2</v>
      </c>
      <c r="I8" s="264" t="n">
        <v>95</v>
      </c>
      <c r="J8" s="71" t="inlineStr">
        <is>
          <t>迷你哥/松山哥</t>
        </is>
      </c>
      <c r="K8" s="265" t="inlineStr">
        <is>
          <t>個股弱勢 (跑輸大盤 &gt;2pp)</t>
        </is>
      </c>
    </row>
    <row r="9">
      <c r="B9" s="249" t="inlineStr">
        <is>
          <t>2026/08/13</t>
        </is>
      </c>
      <c r="C9" s="249" t="inlineStr">
        <is>
          <t>08/14</t>
        </is>
      </c>
      <c r="D9" s="249" t="inlineStr">
        <is>
          <t>嘉澤(3533)</t>
        </is>
      </c>
      <c r="E9" s="253" t="n">
        <v>-4.97</v>
      </c>
      <c r="F9" s="261" t="n">
        <v>1.11</v>
      </c>
      <c r="G9" s="262" t="n">
        <v>-6.08</v>
      </c>
      <c r="H9" s="263" t="n">
        <v>26.6</v>
      </c>
      <c r="I9" s="264" t="n">
        <v>95</v>
      </c>
      <c r="J9" s="71" t="inlineStr">
        <is>
          <t>迷你哥/松山哥</t>
        </is>
      </c>
      <c r="K9" s="265" t="inlineStr">
        <is>
          <t>個股弱勢 (跑輸大盤 &gt;2pp)</t>
        </is>
      </c>
    </row>
    <row r="10">
      <c r="B10" s="249" t="inlineStr">
        <is>
          <t>2026/08/13</t>
        </is>
      </c>
      <c r="C10" s="249" t="inlineStr">
        <is>
          <t>08/14</t>
        </is>
      </c>
      <c r="D10" s="249" t="inlineStr">
        <is>
          <t>穩懋(3105)</t>
        </is>
      </c>
      <c r="E10" s="253" t="n">
        <v>-2.33</v>
      </c>
      <c r="F10" s="261" t="n">
        <v>1.11</v>
      </c>
      <c r="G10" s="262" t="n">
        <v>-3.44</v>
      </c>
      <c r="H10" s="266" t="n">
        <v>54.6</v>
      </c>
      <c r="I10" s="264" t="n">
        <v>95</v>
      </c>
      <c r="J10" s="71" t="inlineStr">
        <is>
          <t>迷你哥/松山哥</t>
        </is>
      </c>
      <c r="K10" s="265" t="inlineStr">
        <is>
          <t>假共識 (領頭獨佔 ≥50%) | 個股弱勢 (跑輸大盤 &gt;2pp)</t>
        </is>
      </c>
    </row>
    <row r="11">
      <c r="B11" s="249" t="inlineStr">
        <is>
          <t>2026/08/13</t>
        </is>
      </c>
      <c r="C11" s="249" t="inlineStr">
        <is>
          <t>08/14</t>
        </is>
      </c>
      <c r="D11" s="249" t="inlineStr">
        <is>
          <t>禾伸堂(3026)</t>
        </is>
      </c>
      <c r="E11" s="253" t="n">
        <v>-6.37</v>
      </c>
      <c r="F11" s="261" t="n">
        <v>1.11</v>
      </c>
      <c r="G11" s="262" t="n">
        <v>-7.48</v>
      </c>
      <c r="H11" s="263" t="n">
        <v>44.6</v>
      </c>
      <c r="I11" s="264" t="n">
        <v>95</v>
      </c>
      <c r="J11" s="71" t="inlineStr">
        <is>
          <t>迷你哥/松山哥</t>
        </is>
      </c>
      <c r="K11" s="265" t="inlineStr">
        <is>
          <t>個股弱勢 (跑輸大盤 &gt;2pp)</t>
        </is>
      </c>
    </row>
    <row r="12">
      <c r="B12" s="249" t="inlineStr">
        <is>
          <t>2026/08/13</t>
        </is>
      </c>
      <c r="C12" s="249" t="inlineStr">
        <is>
          <t>08/14</t>
        </is>
      </c>
      <c r="D12" s="249" t="inlineStr">
        <is>
          <t>華南金(2880)</t>
        </is>
      </c>
      <c r="E12" s="253" t="n">
        <v>-0.38</v>
      </c>
      <c r="F12" s="261" t="n">
        <v>1.11</v>
      </c>
      <c r="G12" s="262" t="n">
        <v>-1.49</v>
      </c>
      <c r="H12" s="263" t="n">
        <v>34.9</v>
      </c>
      <c r="I12" s="264" t="n">
        <v>95</v>
      </c>
      <c r="J12" s="71" t="inlineStr">
        <is>
          <t>迷你哥/松山哥</t>
        </is>
      </c>
      <c r="K12" s="265" t="inlineStr">
        <is>
          <t>alpha noise (個股無系統性原因)</t>
        </is>
      </c>
    </row>
    <row r="13">
      <c r="B13" s="249" t="inlineStr">
        <is>
          <t>2026/08/13</t>
        </is>
      </c>
      <c r="C13" s="249" t="inlineStr">
        <is>
          <t>08/14</t>
        </is>
      </c>
      <c r="D13" s="249" t="inlineStr">
        <is>
          <t>光聖(6442)</t>
        </is>
      </c>
      <c r="E13" s="253" t="n">
        <v>-0.32</v>
      </c>
      <c r="F13" s="261" t="n">
        <v>1.11</v>
      </c>
      <c r="G13" s="262" t="n">
        <v>-1.43</v>
      </c>
      <c r="H13" s="263" t="n">
        <v>22.8</v>
      </c>
      <c r="I13" s="264" t="n">
        <v>95</v>
      </c>
      <c r="J13" s="71" t="inlineStr">
        <is>
          <t>迷你哥/松山哥</t>
        </is>
      </c>
      <c r="K13" s="265" t="inlineStr">
        <is>
          <t>alpha noise (個股無系統性原因)</t>
        </is>
      </c>
    </row>
    <row r="16" ht="60" customHeight="1">
      <c r="B16" s="257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7"/>
    <row r="18"/>
    <row r="19"/>
  </sheetData>
  <mergeCells count="3">
    <mergeCell ref="B4:K4"/>
    <mergeCell ref="B3:K3"/>
    <mergeCell ref="B16:K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11/11 交易日出手 528 次 (249 檔), 風格分布: 隔日沖近似 31% / 當沖 13% / 留倉 56%, 漲停命中 4% (其中 🔒鎖漲停 3%), 前 5 大集中 22%, ⚠️ 處置股部位 8% (21 檔), 📦 連續囤貨 10 檔 (最長 7 天 2327, 2 檔仍 active)。 主軸: 高頻交易/📦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1303</t>
        </is>
      </c>
      <c r="D12" t="inlineStr">
        <is>
          <t>南亞</t>
        </is>
      </c>
      <c r="E12" s="33" t="n">
        <v>6424</v>
      </c>
      <c r="F12" s="33" t="n">
        <v>0</v>
      </c>
      <c r="G12" s="184" t="n">
        <v>0.09789999999999999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4466</v>
      </c>
      <c r="F13" s="33" t="n">
        <v>0</v>
      </c>
      <c r="G13" s="183" t="n">
        <v>-0.0164</v>
      </c>
    </row>
    <row r="14">
      <c r="B14" t="n">
        <v>3</v>
      </c>
      <c r="C14" t="inlineStr">
        <is>
          <t>6683</t>
        </is>
      </c>
      <c r="D14" t="inlineStr">
        <is>
          <t>雍智科技</t>
        </is>
      </c>
      <c r="E14" s="33" t="n">
        <v>4233</v>
      </c>
      <c r="F14" s="33" t="n">
        <v>0</v>
      </c>
      <c r="G14" s="183" t="n">
        <v>-0.0179</v>
      </c>
    </row>
    <row r="15">
      <c r="B15" t="n">
        <v>4</v>
      </c>
      <c r="C15" t="inlineStr">
        <is>
          <t>3017</t>
        </is>
      </c>
      <c r="D15" t="inlineStr">
        <is>
          <t>奇鋐</t>
        </is>
      </c>
      <c r="E15" s="33" t="n">
        <v>2879</v>
      </c>
      <c r="F15" s="33" t="n">
        <v>0</v>
      </c>
      <c r="G15" s="184" t="n">
        <v>0.0109</v>
      </c>
    </row>
    <row r="16">
      <c r="B16" t="n">
        <v>5</v>
      </c>
      <c r="C16" t="inlineStr">
        <is>
          <t>6182</t>
        </is>
      </c>
      <c r="D16" t="inlineStr">
        <is>
          <t>合晶</t>
        </is>
      </c>
      <c r="E16" s="33" t="n">
        <v>2683</v>
      </c>
      <c r="F16" s="33" t="n">
        <v>0</v>
      </c>
      <c r="G16" s="183" t="n">
        <v>-0.0133</v>
      </c>
    </row>
    <row r="17">
      <c r="B17" t="n">
        <v>6</v>
      </c>
      <c r="C17" t="inlineStr">
        <is>
          <t>2317</t>
        </is>
      </c>
      <c r="D17" t="inlineStr">
        <is>
          <t>鴻海</t>
        </is>
      </c>
      <c r="E17" s="33" t="n">
        <v>2531</v>
      </c>
      <c r="F17" s="33" t="n">
        <v>0</v>
      </c>
      <c r="G17" s="183" t="n">
        <v>-0.0095</v>
      </c>
    </row>
    <row r="18">
      <c r="B18" t="n">
        <v>7</v>
      </c>
      <c r="C18" t="inlineStr">
        <is>
          <t>2886</t>
        </is>
      </c>
      <c r="D18" t="inlineStr">
        <is>
          <t>兆豐金</t>
        </is>
      </c>
      <c r="E18" s="33" t="n">
        <v>2139</v>
      </c>
      <c r="F18" s="33" t="n">
        <v>0</v>
      </c>
      <c r="G18" s="184" t="n">
        <v>0.0327</v>
      </c>
    </row>
    <row r="19">
      <c r="B19" t="n">
        <v>8</v>
      </c>
      <c r="C19" t="inlineStr">
        <is>
          <t>5289</t>
        </is>
      </c>
      <c r="D19" t="inlineStr">
        <is>
          <t>宜鼎</t>
        </is>
      </c>
      <c r="E19" s="33" t="n">
        <v>1822</v>
      </c>
      <c r="F19" s="33" t="n">
        <v>0</v>
      </c>
      <c r="G19" s="183" t="n">
        <v>-0.0391</v>
      </c>
    </row>
    <row r="20">
      <c r="B20" t="n">
        <v>9</v>
      </c>
      <c r="C20" t="inlineStr">
        <is>
          <t>8155</t>
        </is>
      </c>
      <c r="D20" t="inlineStr">
        <is>
          <t>博智</t>
        </is>
      </c>
      <c r="E20" s="33" t="n">
        <v>1622</v>
      </c>
      <c r="F20" s="33" t="n">
        <v>0</v>
      </c>
      <c r="G20" s="184" t="n">
        <v>0.004699999999999999</v>
      </c>
    </row>
    <row r="21">
      <c r="B21" t="n">
        <v>10</v>
      </c>
      <c r="C21" t="inlineStr">
        <is>
          <t>3231</t>
        </is>
      </c>
      <c r="D21" t="inlineStr">
        <is>
          <t>緯創</t>
        </is>
      </c>
      <c r="E21" s="33" t="n">
        <v>1577</v>
      </c>
      <c r="F21" s="33" t="n">
        <v>0</v>
      </c>
      <c r="G21" s="183" t="n">
        <v>-0.0178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9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196</v>
      </c>
      <c r="F3" s="88" t="n">
        <v>84</v>
      </c>
      <c r="G3" s="88" t="n">
        <v>10172</v>
      </c>
      <c r="H3" s="88" t="n">
        <v>4315</v>
      </c>
      <c r="I3" s="88" t="n">
        <v>5857</v>
      </c>
      <c r="J3" s="89" t="n">
        <v>518.98</v>
      </c>
      <c r="K3" s="89" t="n">
        <v>513.6799999999999</v>
      </c>
      <c r="L3" s="192">
        <f>F3*(K3-J3)</f>
        <v/>
      </c>
    </row>
    <row r="4" ht="16.5" customHeight="1">
      <c r="A4" s="91" t="n"/>
      <c r="B4" s="91" t="n"/>
      <c r="C4" s="91" t="n"/>
      <c r="D4" s="87" t="inlineStr">
        <is>
          <t>創意(3443)</t>
        </is>
      </c>
      <c r="E4" s="88" t="n">
        <v>15</v>
      </c>
      <c r="F4" s="88" t="n">
        <v>1</v>
      </c>
      <c r="G4" s="88" t="n">
        <v>8375</v>
      </c>
      <c r="H4" s="88" t="n">
        <v>3</v>
      </c>
      <c r="I4" s="88" t="n">
        <v>8372</v>
      </c>
      <c r="J4" s="89" t="n">
        <v>5583.07</v>
      </c>
      <c r="K4" s="89" t="n">
        <v>28</v>
      </c>
      <c r="L4" s="192">
        <f>F4*(K4-J4)</f>
        <v/>
      </c>
    </row>
    <row r="5" ht="16.5" customHeight="1">
      <c r="A5" s="91" t="n"/>
      <c r="B5" s="91" t="n"/>
      <c r="C5" s="91" t="n"/>
      <c r="D5" s="87" t="inlineStr">
        <is>
          <t>群聯(8299)</t>
        </is>
      </c>
      <c r="E5" s="88" t="n">
        <v>29</v>
      </c>
      <c r="F5" s="88" t="n">
        <v>18</v>
      </c>
      <c r="G5" s="88" t="n">
        <v>6136</v>
      </c>
      <c r="H5" s="88" t="n">
        <v>3794</v>
      </c>
      <c r="I5" s="88" t="n">
        <v>2342</v>
      </c>
      <c r="J5" s="89" t="n">
        <v>2115.69</v>
      </c>
      <c r="K5" s="89" t="n">
        <v>2107.56</v>
      </c>
      <c r="L5" s="192">
        <f>F5*(K5-J5)</f>
        <v/>
      </c>
    </row>
    <row r="6" ht="16.5" customHeight="1">
      <c r="A6" s="91" t="n"/>
      <c r="B6" s="91" t="n"/>
      <c r="C6" s="91" t="n"/>
      <c r="D6" s="87" t="inlineStr">
        <is>
          <t>旺宏(2337)</t>
        </is>
      </c>
      <c r="E6" s="88" t="n">
        <v>330</v>
      </c>
      <c r="F6" s="88" t="n">
        <v>234</v>
      </c>
      <c r="G6" s="88" t="n">
        <v>4610</v>
      </c>
      <c r="H6" s="88" t="n">
        <v>3330</v>
      </c>
      <c r="I6" s="88" t="n">
        <v>1280</v>
      </c>
      <c r="J6" s="89" t="n">
        <v>139.69</v>
      </c>
      <c r="K6" s="89" t="n">
        <v>142.31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大立光(3008)</t>
        </is>
      </c>
      <c r="E7" s="88" t="n">
        <v>7</v>
      </c>
      <c r="F7" s="88" t="n">
        <v>7</v>
      </c>
      <c r="G7" s="88" t="n">
        <v>3292</v>
      </c>
      <c r="H7" s="88" t="n">
        <v>3119</v>
      </c>
      <c r="I7" s="88" t="n">
        <v>173</v>
      </c>
      <c r="J7" s="89" t="n">
        <v>4703</v>
      </c>
      <c r="K7" s="89" t="n">
        <v>4455.43</v>
      </c>
      <c r="L7" s="192">
        <f>F7*(K7-J7)</f>
        <v/>
      </c>
    </row>
    <row r="8" ht="16.5" customHeight="1">
      <c r="A8" s="91" t="n"/>
      <c r="B8" s="91" t="n"/>
      <c r="C8" s="91" t="n"/>
      <c r="D8" s="87" t="inlineStr">
        <is>
          <t>中美晶(5483)</t>
        </is>
      </c>
      <c r="E8" s="88" t="n">
        <v>162</v>
      </c>
      <c r="F8" s="88" t="n">
        <v>80</v>
      </c>
      <c r="G8" s="88" t="n">
        <v>3049</v>
      </c>
      <c r="H8" s="88" t="n">
        <v>1500</v>
      </c>
      <c r="I8" s="88" t="n">
        <v>1549</v>
      </c>
      <c r="J8" s="89" t="n">
        <v>188.2</v>
      </c>
      <c r="K8" s="89" t="n">
        <v>187.5</v>
      </c>
      <c r="L8" s="192">
        <f>F8*(K8-J8)</f>
        <v/>
      </c>
    </row>
    <row r="9" ht="16.5" customHeight="1">
      <c r="A9" s="91" t="n"/>
      <c r="B9" s="91" t="n"/>
      <c r="C9" s="91" t="n"/>
      <c r="D9" s="87" t="inlineStr">
        <is>
          <t>貿聯-KY(3665)</t>
        </is>
      </c>
      <c r="E9" s="88" t="n">
        <v>12</v>
      </c>
      <c r="F9" s="88" t="n">
        <v>1</v>
      </c>
      <c r="G9" s="88" t="n">
        <v>2657</v>
      </c>
      <c r="H9" s="88" t="n">
        <v>244</v>
      </c>
      <c r="I9" s="88" t="n">
        <v>2413</v>
      </c>
      <c r="J9" s="89" t="n">
        <v>2213.92</v>
      </c>
      <c r="K9" s="89" t="n">
        <v>2436</v>
      </c>
      <c r="L9" s="191">
        <f>F9*(K9-J9)</f>
        <v/>
      </c>
    </row>
    <row r="10" ht="16.5" customHeight="1">
      <c r="A10" s="91" t="n"/>
      <c r="B10" s="91" t="n"/>
      <c r="C10" s="91" t="n"/>
      <c r="D10" s="87" t="inlineStr">
        <is>
          <t>國巨*(2327)</t>
        </is>
      </c>
      <c r="E10" s="88" t="n">
        <v>38</v>
      </c>
      <c r="F10" s="88" t="n">
        <v>17</v>
      </c>
      <c r="G10" s="88" t="n">
        <v>2412</v>
      </c>
      <c r="H10" s="88" t="n">
        <v>1077</v>
      </c>
      <c r="I10" s="88" t="n">
        <v>1335</v>
      </c>
      <c r="J10" s="89" t="n">
        <v>634.66</v>
      </c>
      <c r="K10" s="89" t="n">
        <v>633.53</v>
      </c>
      <c r="L10" s="192">
        <f>F10*(K10-J10)</f>
        <v/>
      </c>
    </row>
    <row r="11" ht="16.5" customHeight="1">
      <c r="A11" s="91" t="n"/>
      <c r="B11" s="91" t="n"/>
      <c r="C11" s="91" t="n"/>
      <c r="D11" s="87" t="inlineStr">
        <is>
          <t>南電(8046)</t>
        </is>
      </c>
      <c r="E11" s="88" t="n">
        <v>16</v>
      </c>
      <c r="F11" s="88" t="n">
        <v>10</v>
      </c>
      <c r="G11" s="88" t="n">
        <v>2051</v>
      </c>
      <c r="H11" s="88" t="n">
        <v>1243</v>
      </c>
      <c r="I11" s="88" t="n">
        <v>808</v>
      </c>
      <c r="J11" s="89" t="n">
        <v>1281.81</v>
      </c>
      <c r="K11" s="89" t="n">
        <v>1243.4</v>
      </c>
      <c r="L11" s="192">
        <f>F11*(K11-J11)</f>
        <v/>
      </c>
    </row>
    <row r="12" ht="16.5" customHeight="1">
      <c r="A12" s="91" t="n"/>
      <c r="B12" s="91" t="n"/>
      <c r="C12" s="91" t="n"/>
      <c r="D12" s="87" t="inlineStr">
        <is>
          <t>聯電(2303)</t>
        </is>
      </c>
      <c r="E12" s="88" t="n">
        <v>142</v>
      </c>
      <c r="F12" s="88" t="n">
        <v>31</v>
      </c>
      <c r="G12" s="88" t="n">
        <v>1743</v>
      </c>
      <c r="H12" s="88" t="n">
        <v>376</v>
      </c>
      <c r="I12" s="88" t="n">
        <v>1367</v>
      </c>
      <c r="J12" s="89" t="n">
        <v>122.74</v>
      </c>
      <c r="K12" s="89" t="n">
        <v>121.42</v>
      </c>
      <c r="L12" s="192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鴻海(2317)</t>
        </is>
      </c>
      <c r="E14" s="88" t="n">
        <v>270</v>
      </c>
      <c r="F14" s="88" t="n">
        <v>81</v>
      </c>
      <c r="G14" s="88" t="n">
        <v>7025</v>
      </c>
      <c r="H14" s="88" t="n">
        <v>2089</v>
      </c>
      <c r="I14" s="88" t="n">
        <v>4936</v>
      </c>
      <c r="J14" s="89" t="n">
        <v>260.19</v>
      </c>
      <c r="K14" s="89" t="n">
        <v>257.89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南亞科(2408)</t>
        </is>
      </c>
      <c r="E15" s="88" t="n">
        <v>136</v>
      </c>
      <c r="F15" s="88" t="n">
        <v>127</v>
      </c>
      <c r="G15" s="88" t="n">
        <v>6947</v>
      </c>
      <c r="H15" s="88" t="n">
        <v>6507</v>
      </c>
      <c r="I15" s="88" t="n">
        <v>440</v>
      </c>
      <c r="J15" s="89" t="n">
        <v>510.82</v>
      </c>
      <c r="K15" s="89" t="n">
        <v>512.35</v>
      </c>
      <c r="L15" s="191">
        <f>F15*(K15-J15)</f>
        <v/>
      </c>
    </row>
    <row r="16" ht="16.5" customHeight="1">
      <c r="A16" s="91" t="n"/>
      <c r="B16" s="91" t="n"/>
      <c r="C16" s="91" t="n"/>
      <c r="D16" s="87" t="inlineStr">
        <is>
          <t>健策(3653)</t>
        </is>
      </c>
      <c r="E16" s="88" t="n">
        <v>13</v>
      </c>
      <c r="F16" s="88" t="n">
        <v>5</v>
      </c>
      <c r="G16" s="88" t="n">
        <v>6116</v>
      </c>
      <c r="H16" s="88" t="n">
        <v>2425</v>
      </c>
      <c r="I16" s="88" t="n">
        <v>3691</v>
      </c>
      <c r="J16" s="89" t="n">
        <v>4704.46</v>
      </c>
      <c r="K16" s="89" t="n">
        <v>4849.4</v>
      </c>
      <c r="L16" s="191">
        <f>F16*(K16-J16)</f>
        <v/>
      </c>
    </row>
    <row r="17" ht="16.5" customHeight="1">
      <c r="A17" s="91" t="n"/>
      <c r="B17" s="91" t="n"/>
      <c r="C17" s="91" t="n"/>
      <c r="D17" s="87" t="inlineStr">
        <is>
          <t>南亞(1303)</t>
        </is>
      </c>
      <c r="E17" s="88" t="n">
        <v>267</v>
      </c>
      <c r="F17" s="88" t="n">
        <v>112</v>
      </c>
      <c r="G17" s="88" t="n">
        <v>5490</v>
      </c>
      <c r="H17" s="88" t="n">
        <v>2276</v>
      </c>
      <c r="I17" s="88" t="n">
        <v>3214</v>
      </c>
      <c r="J17" s="89" t="n">
        <v>205.63</v>
      </c>
      <c r="K17" s="89" t="n">
        <v>203.21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奇鋐(3017)</t>
        </is>
      </c>
      <c r="E18" s="88" t="n">
        <v>16</v>
      </c>
      <c r="F18" s="88" t="n">
        <v>10</v>
      </c>
      <c r="G18" s="88" t="n">
        <v>5273</v>
      </c>
      <c r="H18" s="88" t="n">
        <v>3267</v>
      </c>
      <c r="I18" s="88" t="n">
        <v>2006</v>
      </c>
      <c r="J18" s="89" t="n">
        <v>3295.75</v>
      </c>
      <c r="K18" s="89" t="n">
        <v>3267.1</v>
      </c>
      <c r="L18" s="192">
        <f>F18*(K18-J18)</f>
        <v/>
      </c>
    </row>
    <row r="19" ht="16.5" customHeight="1">
      <c r="A19" s="91" t="n"/>
      <c r="B19" s="91" t="n"/>
      <c r="C19" s="91" t="n"/>
      <c r="D19" s="87" t="inlineStr">
        <is>
          <t>金居(8358)</t>
        </is>
      </c>
      <c r="E19" s="88" t="n">
        <v>55</v>
      </c>
      <c r="F19" s="88" t="n">
        <v>41</v>
      </c>
      <c r="G19" s="88" t="n">
        <v>2363</v>
      </c>
      <c r="H19" s="88" t="n">
        <v>1774</v>
      </c>
      <c r="I19" s="88" t="n">
        <v>589</v>
      </c>
      <c r="J19" s="89" t="n">
        <v>429.64</v>
      </c>
      <c r="K19" s="89" t="n">
        <v>432.71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合晶(6182)</t>
        </is>
      </c>
      <c r="E20" s="88" t="n">
        <v>161</v>
      </c>
      <c r="F20" s="88" t="n">
        <v>111</v>
      </c>
      <c r="G20" s="88" t="n">
        <v>1844</v>
      </c>
      <c r="H20" s="88" t="n">
        <v>1267</v>
      </c>
      <c r="I20" s="88" t="n">
        <v>577</v>
      </c>
      <c r="J20" s="89" t="n">
        <v>114.57</v>
      </c>
      <c r="K20" s="89" t="n">
        <v>114.11</v>
      </c>
      <c r="L20" s="192">
        <f>F20*(K20-J20)</f>
        <v/>
      </c>
    </row>
    <row r="21" ht="16.5" customHeight="1">
      <c r="A21" s="91" t="n"/>
      <c r="B21" s="91" t="n"/>
      <c r="C21" s="91" t="n"/>
      <c r="D21" s="87" t="inlineStr">
        <is>
          <t>信驊(5274)</t>
        </is>
      </c>
      <c r="E21" s="88" t="n">
        <v>1</v>
      </c>
      <c r="F21" s="88" t="n">
        <v>1</v>
      </c>
      <c r="G21" s="88" t="n">
        <v>1804</v>
      </c>
      <c r="H21" s="88" t="n">
        <v>111</v>
      </c>
      <c r="I21" s="88" t="n">
        <v>1693</v>
      </c>
      <c r="J21" s="89" t="n">
        <v>18045</v>
      </c>
      <c r="K21" s="89" t="n">
        <v>1107</v>
      </c>
      <c r="L21" s="192">
        <f>F21*(K21-J21)</f>
        <v/>
      </c>
    </row>
    <row r="22" ht="16.5" customHeight="1">
      <c r="A22" s="91" t="n"/>
      <c r="B22" s="91" t="n"/>
      <c r="C22" s="91" t="n"/>
      <c r="D22" s="87" t="inlineStr">
        <is>
          <t>陽程(3498)</t>
        </is>
      </c>
      <c r="E22" s="88" t="n">
        <v>100</v>
      </c>
      <c r="F22" s="88" t="n">
        <v>1</v>
      </c>
      <c r="G22" s="88" t="n">
        <v>1580</v>
      </c>
      <c r="H22" s="88" t="n">
        <v>16</v>
      </c>
      <c r="I22" s="88" t="n">
        <v>1564</v>
      </c>
      <c r="J22" s="89" t="n">
        <v>158</v>
      </c>
      <c r="K22" s="89" t="n">
        <v>158</v>
      </c>
      <c r="L22" s="191">
        <f>F22*(K22-J22)</f>
        <v/>
      </c>
    </row>
    <row r="23" ht="16.5" customHeight="1">
      <c r="A23" s="91" t="n"/>
      <c r="B23" s="91" t="n"/>
      <c r="C23" s="91" t="n"/>
      <c r="D23" s="87" t="inlineStr">
        <is>
          <t>雷虎(8033)</t>
        </is>
      </c>
      <c r="E23" s="88" t="n">
        <v>80</v>
      </c>
      <c r="F23" s="88" t="n">
        <v>33</v>
      </c>
      <c r="G23" s="88" t="n">
        <v>1477</v>
      </c>
      <c r="H23" s="88" t="n">
        <v>626</v>
      </c>
      <c r="I23" s="88" t="n">
        <v>851</v>
      </c>
      <c r="J23" s="89" t="n">
        <v>184.59</v>
      </c>
      <c r="K23" s="89" t="n">
        <v>189.64</v>
      </c>
      <c r="L23" s="191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群聯(8299)</t>
        </is>
      </c>
      <c r="E25" s="88" t="n">
        <v>16</v>
      </c>
      <c r="F25" s="88" t="n">
        <v>10</v>
      </c>
      <c r="G25" s="88" t="n">
        <v>3427</v>
      </c>
      <c r="H25" s="88" t="n">
        <v>2151</v>
      </c>
      <c r="I25" s="88" t="n">
        <v>1276</v>
      </c>
      <c r="J25" s="89" t="n">
        <v>2141.75</v>
      </c>
      <c r="K25" s="89" t="n">
        <v>2151.1</v>
      </c>
      <c r="L25" s="191">
        <f>F25*(K25-J25)</f>
        <v/>
      </c>
    </row>
    <row r="26" ht="16.5" customHeight="1">
      <c r="A26" s="91" t="n"/>
      <c r="B26" s="91" t="n"/>
      <c r="C26" s="91" t="n"/>
      <c r="D26" s="87" t="inlineStr">
        <is>
          <t>旺矽(6223)</t>
        </is>
      </c>
      <c r="E26" s="88" t="n">
        <v>2</v>
      </c>
      <c r="F26" s="88" t="n">
        <v>0</v>
      </c>
      <c r="G26" s="88" t="n">
        <v>1306</v>
      </c>
      <c r="H26" s="88" t="n">
        <v>0</v>
      </c>
      <c r="I26" s="88" t="n">
        <v>1306</v>
      </c>
      <c r="J26" s="89" t="n">
        <v>6528</v>
      </c>
      <c r="K26" s="89" t="n">
        <v>0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南亞(1303)</t>
        </is>
      </c>
      <c r="E27" s="88" t="n">
        <v>47</v>
      </c>
      <c r="F27" s="88" t="n">
        <v>8</v>
      </c>
      <c r="G27" s="88" t="n">
        <v>966</v>
      </c>
      <c r="H27" s="88" t="n">
        <v>162</v>
      </c>
      <c r="I27" s="88" t="n">
        <v>804</v>
      </c>
      <c r="J27" s="89" t="n">
        <v>205.51</v>
      </c>
      <c r="K27" s="89" t="n">
        <v>201.88</v>
      </c>
      <c r="L27" s="192">
        <f>F27*(K27-J27)</f>
        <v/>
      </c>
    </row>
    <row r="28" ht="16.5" customHeight="1">
      <c r="A28" s="91" t="n"/>
      <c r="B28" s="91" t="n"/>
      <c r="C28" s="91" t="n"/>
      <c r="D28" s="87" t="inlineStr">
        <is>
          <t>仁寶(2324)</t>
        </is>
      </c>
      <c r="E28" s="88" t="n">
        <v>190</v>
      </c>
      <c r="F28" s="88" t="n">
        <v>168</v>
      </c>
      <c r="G28" s="88" t="n">
        <v>821</v>
      </c>
      <c r="H28" s="88" t="n">
        <v>726</v>
      </c>
      <c r="I28" s="88" t="n">
        <v>95</v>
      </c>
      <c r="J28" s="89" t="n">
        <v>43.2</v>
      </c>
      <c r="K28" s="89" t="n">
        <v>43.2</v>
      </c>
      <c r="L28" s="191">
        <f>F28*(K28-J28)</f>
        <v/>
      </c>
    </row>
    <row r="29" ht="16.5" customHeight="1">
      <c r="A29" s="91" t="n"/>
      <c r="B29" s="91" t="n"/>
      <c r="C29" s="91" t="n"/>
      <c r="D29" s="87" t="inlineStr">
        <is>
          <t>南電(8046)</t>
        </is>
      </c>
      <c r="E29" s="88" t="n">
        <v>6</v>
      </c>
      <c r="F29" s="88" t="n">
        <v>4</v>
      </c>
      <c r="G29" s="88" t="n">
        <v>788</v>
      </c>
      <c r="H29" s="88" t="n">
        <v>508</v>
      </c>
      <c r="I29" s="88" t="n">
        <v>280</v>
      </c>
      <c r="J29" s="89" t="n">
        <v>1314.17</v>
      </c>
      <c r="K29" s="89" t="n">
        <v>1269.5</v>
      </c>
      <c r="L29" s="192">
        <f>F29*(K29-J29)</f>
        <v/>
      </c>
    </row>
    <row r="30" ht="16.5" customHeight="1">
      <c r="A30" s="91" t="n"/>
      <c r="B30" s="91" t="n"/>
      <c r="C30" s="91" t="n"/>
      <c r="D30" s="87" t="inlineStr">
        <is>
          <t>上詮(3363)</t>
        </is>
      </c>
      <c r="E30" s="88" t="n">
        <v>11</v>
      </c>
      <c r="F30" s="88" t="n">
        <v>0</v>
      </c>
      <c r="G30" s="88" t="n">
        <v>647</v>
      </c>
      <c r="H30" s="88" t="n">
        <v>0</v>
      </c>
      <c r="I30" s="88" t="n">
        <v>647</v>
      </c>
      <c r="J30" s="89" t="n">
        <v>588.45</v>
      </c>
      <c r="K30" s="89" t="n">
        <v>0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家登(3680)</t>
        </is>
      </c>
      <c r="E31" s="88" t="n">
        <v>13</v>
      </c>
      <c r="F31" s="88" t="n">
        <v>0</v>
      </c>
      <c r="G31" s="88" t="n">
        <v>616</v>
      </c>
      <c r="H31" s="88" t="n">
        <v>0</v>
      </c>
      <c r="I31" s="88" t="n">
        <v>616</v>
      </c>
      <c r="J31" s="89" t="n">
        <v>474</v>
      </c>
      <c r="K31" s="89" t="n">
        <v>0</v>
      </c>
      <c r="L31" s="191">
        <f>F31*(K31-J31)</f>
        <v/>
      </c>
    </row>
    <row r="32" ht="16.5" customHeight="1">
      <c r="A32" s="91" t="n"/>
      <c r="B32" s="91" t="n"/>
      <c r="C32" s="91" t="n"/>
      <c r="D32" s="87" t="inlineStr">
        <is>
          <t>臻鼎-KY(4958)</t>
        </is>
      </c>
      <c r="E32" s="88" t="n">
        <v>11</v>
      </c>
      <c r="F32" s="88" t="n">
        <v>8</v>
      </c>
      <c r="G32" s="88" t="n">
        <v>550</v>
      </c>
      <c r="H32" s="88" t="n">
        <v>415</v>
      </c>
      <c r="I32" s="88" t="n">
        <v>135</v>
      </c>
      <c r="J32" s="89" t="n">
        <v>500.09</v>
      </c>
      <c r="K32" s="89" t="n">
        <v>518.88</v>
      </c>
      <c r="L32" s="191">
        <f>F32*(K32-J32)</f>
        <v/>
      </c>
    </row>
    <row r="33" ht="16.5" customHeight="1">
      <c r="A33" s="91" t="n"/>
      <c r="B33" s="91" t="n"/>
      <c r="C33" s="91" t="n"/>
      <c r="D33" s="87" t="inlineStr">
        <is>
          <t>健策(3653)</t>
        </is>
      </c>
      <c r="E33" s="88" t="n">
        <v>1</v>
      </c>
      <c r="F33" s="88" t="n">
        <v>0</v>
      </c>
      <c r="G33" s="88" t="n">
        <v>479</v>
      </c>
      <c r="H33" s="88" t="n">
        <v>0</v>
      </c>
      <c r="I33" s="88" t="n">
        <v>479</v>
      </c>
      <c r="J33" s="89" t="n">
        <v>4789</v>
      </c>
      <c r="K33" s="89" t="n">
        <v>0</v>
      </c>
      <c r="L33" s="191">
        <f>F33*(K33-J33)</f>
        <v/>
      </c>
    </row>
    <row r="34" ht="16.5" customHeight="1">
      <c r="A34" s="91" t="n"/>
      <c r="B34" s="91" t="n"/>
      <c r="C34" s="91" t="n"/>
      <c r="D34" s="87" t="inlineStr">
        <is>
          <t>緯創(3231)</t>
        </is>
      </c>
      <c r="E34" s="88" t="n">
        <v>24</v>
      </c>
      <c r="F34" s="88" t="n">
        <v>9</v>
      </c>
      <c r="G34" s="88" t="n">
        <v>478</v>
      </c>
      <c r="H34" s="88" t="n">
        <v>178</v>
      </c>
      <c r="I34" s="88" t="n">
        <v>300</v>
      </c>
      <c r="J34" s="89" t="n">
        <v>199.21</v>
      </c>
      <c r="K34" s="89" t="n">
        <v>198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259</v>
      </c>
      <c r="F36" s="97" t="n">
        <v>75</v>
      </c>
      <c r="G36" s="97" t="n">
        <v>16476</v>
      </c>
      <c r="H36" s="97" t="n">
        <v>4781</v>
      </c>
      <c r="I36" s="97" t="n">
        <v>11695</v>
      </c>
      <c r="J36" s="98" t="n">
        <v>636.12</v>
      </c>
      <c r="K36" s="98" t="n">
        <v>637.48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群聯(8299)</t>
        </is>
      </c>
      <c r="E37" s="97" t="n">
        <v>77</v>
      </c>
      <c r="F37" s="97" t="n">
        <v>12</v>
      </c>
      <c r="G37" s="97" t="n">
        <v>16038</v>
      </c>
      <c r="H37" s="97" t="n">
        <v>2439</v>
      </c>
      <c r="I37" s="97" t="n">
        <v>13599</v>
      </c>
      <c r="J37" s="98" t="n">
        <v>2082.92</v>
      </c>
      <c r="K37" s="98" t="n">
        <v>2032.33</v>
      </c>
      <c r="L37" s="192">
        <f>F37*(K37-J37)</f>
        <v/>
      </c>
    </row>
    <row r="38" ht="16.5" customHeight="1">
      <c r="A38" s="99" t="n"/>
      <c r="B38" s="99" t="n"/>
      <c r="C38" s="99" t="n"/>
      <c r="D38" s="96" t="inlineStr">
        <is>
          <t>南亞科(2408)</t>
        </is>
      </c>
      <c r="E38" s="97" t="n">
        <v>198</v>
      </c>
      <c r="F38" s="97" t="n">
        <v>161</v>
      </c>
      <c r="G38" s="97" t="n">
        <v>10133</v>
      </c>
      <c r="H38" s="97" t="n">
        <v>8263</v>
      </c>
      <c r="I38" s="97" t="n">
        <v>1870</v>
      </c>
      <c r="J38" s="98" t="n">
        <v>511.78</v>
      </c>
      <c r="K38" s="98" t="n">
        <v>513.23</v>
      </c>
      <c r="L38" s="191">
        <f>F38*(K38-J38)</f>
        <v/>
      </c>
    </row>
    <row r="39" ht="16.5" customHeight="1">
      <c r="A39" s="99" t="n"/>
      <c r="B39" s="99" t="n"/>
      <c r="C39" s="99" t="n"/>
      <c r="D39" s="96" t="inlineStr">
        <is>
          <t>台積電(2330)</t>
        </is>
      </c>
      <c r="E39" s="97" t="n">
        <v>40</v>
      </c>
      <c r="F39" s="97" t="n">
        <v>16</v>
      </c>
      <c r="G39" s="97" t="n">
        <v>9557</v>
      </c>
      <c r="H39" s="97" t="n">
        <v>3800</v>
      </c>
      <c r="I39" s="97" t="n">
        <v>5757</v>
      </c>
      <c r="J39" s="98" t="n">
        <v>2389.28</v>
      </c>
      <c r="K39" s="98" t="n">
        <v>2374.94</v>
      </c>
      <c r="L39" s="192">
        <f>F39*(K39-J39)</f>
        <v/>
      </c>
    </row>
    <row r="40" ht="16.5" customHeight="1">
      <c r="A40" s="99" t="n"/>
      <c r="B40" s="99" t="n"/>
      <c r="C40" s="99" t="n"/>
      <c r="D40" s="96" t="inlineStr">
        <is>
          <t>世芯-KY(3661)</t>
        </is>
      </c>
      <c r="E40" s="97" t="n">
        <v>12</v>
      </c>
      <c r="F40" s="97" t="n">
        <v>8</v>
      </c>
      <c r="G40" s="97" t="n">
        <v>4986</v>
      </c>
      <c r="H40" s="97" t="n">
        <v>3523</v>
      </c>
      <c r="I40" s="97" t="n">
        <v>1463</v>
      </c>
      <c r="J40" s="98" t="n">
        <v>4154.67</v>
      </c>
      <c r="K40" s="98" t="n">
        <v>4403.25</v>
      </c>
      <c r="L40" s="191">
        <f>F40*(K40-J40)</f>
        <v/>
      </c>
    </row>
    <row r="41" ht="16.5" customHeight="1">
      <c r="A41" s="99" t="n"/>
      <c r="B41" s="99" t="n"/>
      <c r="C41" s="99" t="n"/>
      <c r="D41" s="96" t="inlineStr">
        <is>
          <t>光聖(6442)</t>
        </is>
      </c>
      <c r="E41" s="97" t="n">
        <v>27</v>
      </c>
      <c r="F41" s="97" t="n">
        <v>16</v>
      </c>
      <c r="G41" s="97" t="n">
        <v>4205</v>
      </c>
      <c r="H41" s="97" t="n">
        <v>2537</v>
      </c>
      <c r="I41" s="97" t="n">
        <v>1668</v>
      </c>
      <c r="J41" s="98" t="n">
        <v>1557.26</v>
      </c>
      <c r="K41" s="98" t="n">
        <v>1585.5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友達(2409)</t>
        </is>
      </c>
      <c r="E42" s="97" t="n">
        <v>1525</v>
      </c>
      <c r="F42" s="97" t="n">
        <v>342</v>
      </c>
      <c r="G42" s="97" t="n">
        <v>4003</v>
      </c>
      <c r="H42" s="97" t="n">
        <v>891</v>
      </c>
      <c r="I42" s="97" t="n">
        <v>3112</v>
      </c>
      <c r="J42" s="98" t="n">
        <v>26.25</v>
      </c>
      <c r="K42" s="98" t="n">
        <v>26.06</v>
      </c>
      <c r="L42" s="192">
        <f>F42*(K42-J42)</f>
        <v/>
      </c>
    </row>
    <row r="43" ht="16.5" customHeight="1">
      <c r="A43" s="99" t="n"/>
      <c r="B43" s="99" t="n"/>
      <c r="C43" s="99" t="n"/>
      <c r="D43" s="96" t="inlineStr">
        <is>
          <t>華碩(2357)</t>
        </is>
      </c>
      <c r="E43" s="97" t="n">
        <v>40</v>
      </c>
      <c r="F43" s="97" t="n">
        <v>31</v>
      </c>
      <c r="G43" s="97" t="n">
        <v>3953</v>
      </c>
      <c r="H43" s="97" t="n">
        <v>3134</v>
      </c>
      <c r="I43" s="97" t="n">
        <v>819</v>
      </c>
      <c r="J43" s="98" t="n">
        <v>988.23</v>
      </c>
      <c r="K43" s="98" t="n">
        <v>1010.97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台燿(6274)</t>
        </is>
      </c>
      <c r="E44" s="97" t="n">
        <v>23</v>
      </c>
      <c r="F44" s="97" t="n">
        <v>13</v>
      </c>
      <c r="G44" s="97" t="n">
        <v>3881</v>
      </c>
      <c r="H44" s="97" t="n">
        <v>2106</v>
      </c>
      <c r="I44" s="97" t="n">
        <v>1775</v>
      </c>
      <c r="J44" s="98" t="n">
        <v>1687.35</v>
      </c>
      <c r="K44" s="98" t="n">
        <v>1620</v>
      </c>
      <c r="L44" s="192">
        <f>F44*(K44-J44)</f>
        <v/>
      </c>
    </row>
    <row r="45" ht="16.5" customHeight="1">
      <c r="A45" s="99" t="n"/>
      <c r="B45" s="99" t="n"/>
      <c r="C45" s="99" t="n"/>
      <c r="D45" s="96" t="inlineStr">
        <is>
          <t>健策(3653)</t>
        </is>
      </c>
      <c r="E45" s="97" t="n">
        <v>8</v>
      </c>
      <c r="F45" s="97" t="n">
        <v>1</v>
      </c>
      <c r="G45" s="97" t="n">
        <v>3861</v>
      </c>
      <c r="H45" s="97" t="n">
        <v>500</v>
      </c>
      <c r="I45" s="97" t="n">
        <v>3361</v>
      </c>
      <c r="J45" s="98" t="n">
        <v>4825.88</v>
      </c>
      <c r="K45" s="98" t="n">
        <v>5004</v>
      </c>
      <c r="L45" s="191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56</v>
      </c>
      <c r="F47" s="97" t="n">
        <v>55</v>
      </c>
      <c r="G47" s="97" t="n">
        <v>7309</v>
      </c>
      <c r="H47" s="97" t="n">
        <v>7117</v>
      </c>
      <c r="I47" s="97" t="n">
        <v>192</v>
      </c>
      <c r="J47" s="98" t="n">
        <v>1305.12</v>
      </c>
      <c r="K47" s="98" t="n">
        <v>1293.95</v>
      </c>
      <c r="L47" s="192">
        <f>F47*(K47-J47)</f>
        <v/>
      </c>
    </row>
    <row r="48" ht="16.5" customHeight="1">
      <c r="A48" s="99" t="n"/>
      <c r="B48" s="99" t="n"/>
      <c r="C48" s="99" t="n"/>
      <c r="D48" s="96" t="inlineStr">
        <is>
          <t>緯創(3231)</t>
        </is>
      </c>
      <c r="E48" s="97" t="n">
        <v>195</v>
      </c>
      <c r="F48" s="97" t="n">
        <v>147</v>
      </c>
      <c r="G48" s="97" t="n">
        <v>3902</v>
      </c>
      <c r="H48" s="97" t="n">
        <v>2933</v>
      </c>
      <c r="I48" s="97" t="n">
        <v>969</v>
      </c>
      <c r="J48" s="98" t="n">
        <v>200.08</v>
      </c>
      <c r="K48" s="98" t="n">
        <v>199.52</v>
      </c>
      <c r="L48" s="192">
        <f>F48*(K48-J48)</f>
        <v/>
      </c>
    </row>
    <row r="49" ht="16.5" customHeight="1">
      <c r="A49" s="99" t="n"/>
      <c r="B49" s="99" t="n"/>
      <c r="C49" s="99" t="n"/>
      <c r="D49" s="96" t="inlineStr">
        <is>
          <t>國巨*(2327)</t>
        </is>
      </c>
      <c r="E49" s="97" t="n">
        <v>55</v>
      </c>
      <c r="F49" s="97" t="n">
        <v>44</v>
      </c>
      <c r="G49" s="97" t="n">
        <v>3451</v>
      </c>
      <c r="H49" s="97" t="n">
        <v>2712</v>
      </c>
      <c r="I49" s="97" t="n">
        <v>739</v>
      </c>
      <c r="J49" s="98" t="n">
        <v>627.4</v>
      </c>
      <c r="K49" s="98" t="n">
        <v>616.48</v>
      </c>
      <c r="L49" s="192">
        <f>F49*(K49-J49)</f>
        <v/>
      </c>
    </row>
    <row r="50" ht="16.5" customHeight="1">
      <c r="A50" s="99" t="n"/>
      <c r="B50" s="99" t="n"/>
      <c r="C50" s="99" t="n"/>
      <c r="D50" s="96" t="inlineStr">
        <is>
          <t>昇達科(3491)</t>
        </is>
      </c>
      <c r="E50" s="97" t="n">
        <v>20</v>
      </c>
      <c r="F50" s="97" t="n">
        <v>1</v>
      </c>
      <c r="G50" s="97" t="n">
        <v>2805</v>
      </c>
      <c r="H50" s="97" t="n">
        <v>1</v>
      </c>
      <c r="I50" s="97" t="n">
        <v>2804</v>
      </c>
      <c r="J50" s="98" t="n">
        <v>1402.6</v>
      </c>
      <c r="K50" s="98" t="n">
        <v>14</v>
      </c>
      <c r="L50" s="192">
        <f>F50*(K50-J50)</f>
        <v/>
      </c>
    </row>
    <row r="51" ht="16.5" customHeight="1">
      <c r="A51" s="99" t="n"/>
      <c r="B51" s="99" t="n"/>
      <c r="C51" s="99" t="n"/>
      <c r="D51" s="96" t="inlineStr">
        <is>
          <t>世芯-KY(3661)</t>
        </is>
      </c>
      <c r="E51" s="97" t="n">
        <v>6</v>
      </c>
      <c r="F51" s="97" t="n">
        <v>1</v>
      </c>
      <c r="G51" s="97" t="n">
        <v>2624</v>
      </c>
      <c r="H51" s="97" t="n">
        <v>558</v>
      </c>
      <c r="I51" s="97" t="n">
        <v>2066</v>
      </c>
      <c r="J51" s="98" t="n">
        <v>4374.17</v>
      </c>
      <c r="K51" s="98" t="n">
        <v>5584</v>
      </c>
      <c r="L51" s="191">
        <f>F51*(K51-J51)</f>
        <v/>
      </c>
    </row>
    <row r="52" ht="16.5" customHeight="1">
      <c r="A52" s="99" t="n"/>
      <c r="B52" s="99" t="n"/>
      <c r="C52" s="99" t="n"/>
      <c r="D52" s="96" t="inlineStr">
        <is>
          <t>聯發科(2454)</t>
        </is>
      </c>
      <c r="E52" s="97" t="n">
        <v>6</v>
      </c>
      <c r="F52" s="97" t="n">
        <v>2</v>
      </c>
      <c r="G52" s="97" t="n">
        <v>2593</v>
      </c>
      <c r="H52" s="97" t="n">
        <v>1009</v>
      </c>
      <c r="I52" s="97" t="n">
        <v>1584</v>
      </c>
      <c r="J52" s="98" t="n">
        <v>4322</v>
      </c>
      <c r="K52" s="98" t="n">
        <v>5046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台達電(2308)</t>
        </is>
      </c>
      <c r="E53" s="97" t="n">
        <v>9</v>
      </c>
      <c r="F53" s="97" t="n">
        <v>6</v>
      </c>
      <c r="G53" s="97" t="n">
        <v>1768</v>
      </c>
      <c r="H53" s="97" t="n">
        <v>1186</v>
      </c>
      <c r="I53" s="97" t="n">
        <v>582</v>
      </c>
      <c r="J53" s="98" t="n">
        <v>1963.89</v>
      </c>
      <c r="K53" s="98" t="n">
        <v>1977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群聯(8299)</t>
        </is>
      </c>
      <c r="E54" s="97" t="n">
        <v>8</v>
      </c>
      <c r="F54" s="97" t="n">
        <v>4</v>
      </c>
      <c r="G54" s="97" t="n">
        <v>1756</v>
      </c>
      <c r="H54" s="97" t="n">
        <v>886</v>
      </c>
      <c r="I54" s="97" t="n">
        <v>870</v>
      </c>
      <c r="J54" s="98" t="n">
        <v>2195.38</v>
      </c>
      <c r="K54" s="98" t="n">
        <v>2216.25</v>
      </c>
      <c r="L54" s="191">
        <f>F54*(K54-J54)</f>
        <v/>
      </c>
    </row>
    <row r="55" ht="16.5" customHeight="1">
      <c r="A55" s="99" t="n"/>
      <c r="B55" s="99" t="n"/>
      <c r="C55" s="99" t="n"/>
      <c r="D55" s="96" t="inlineStr">
        <is>
          <t>南亞科(2408)</t>
        </is>
      </c>
      <c r="E55" s="97" t="n">
        <v>34</v>
      </c>
      <c r="F55" s="97" t="n">
        <v>14</v>
      </c>
      <c r="G55" s="97" t="n">
        <v>1752</v>
      </c>
      <c r="H55" s="97" t="n">
        <v>741</v>
      </c>
      <c r="I55" s="97" t="n">
        <v>1011</v>
      </c>
      <c r="J55" s="98" t="n">
        <v>515.35</v>
      </c>
      <c r="K55" s="98" t="n">
        <v>529</v>
      </c>
      <c r="L55" s="191">
        <f>F55*(K55-J55)</f>
        <v/>
      </c>
    </row>
    <row r="56" ht="16.5" customHeight="1">
      <c r="A56" s="99" t="n"/>
      <c r="B56" s="99" t="n"/>
      <c r="C56" s="99" t="n"/>
      <c r="D56" s="96" t="inlineStr">
        <is>
          <t>精材(3374)</t>
        </is>
      </c>
      <c r="E56" s="97" t="n">
        <v>42</v>
      </c>
      <c r="F56" s="97" t="n">
        <v>24</v>
      </c>
      <c r="G56" s="97" t="n">
        <v>1404</v>
      </c>
      <c r="H56" s="97" t="n">
        <v>803</v>
      </c>
      <c r="I56" s="97" t="n">
        <v>601</v>
      </c>
      <c r="J56" s="98" t="n">
        <v>334.17</v>
      </c>
      <c r="K56" s="98" t="n">
        <v>334.67</v>
      </c>
      <c r="L56" s="191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186</v>
      </c>
      <c r="F58" s="97" t="n">
        <v>41</v>
      </c>
      <c r="G58" s="97" t="n">
        <v>45051</v>
      </c>
      <c r="H58" s="97" t="n">
        <v>9989</v>
      </c>
      <c r="I58" s="97" t="n">
        <v>35062</v>
      </c>
      <c r="J58" s="98" t="n">
        <v>2422.12</v>
      </c>
      <c r="K58" s="98" t="n">
        <v>2436.39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國巨*(2327)</t>
        </is>
      </c>
      <c r="E59" s="97" t="n">
        <v>376</v>
      </c>
      <c r="F59" s="97" t="n">
        <v>325</v>
      </c>
      <c r="G59" s="97" t="n">
        <v>24497</v>
      </c>
      <c r="H59" s="97" t="n">
        <v>20239</v>
      </c>
      <c r="I59" s="97" t="n">
        <v>4258</v>
      </c>
      <c r="J59" s="98" t="n">
        <v>651.52</v>
      </c>
      <c r="K59" s="98" t="n">
        <v>622.74</v>
      </c>
      <c r="L59" s="192">
        <f>F59*(K59-J59)</f>
        <v/>
      </c>
    </row>
    <row r="60" ht="16.5" customHeight="1">
      <c r="A60" s="99" t="n"/>
      <c r="B60" s="99" t="n"/>
      <c r="C60" s="99" t="n"/>
      <c r="D60" s="96" t="inlineStr">
        <is>
          <t>大立光(3008)</t>
        </is>
      </c>
      <c r="E60" s="97" t="n">
        <v>29</v>
      </c>
      <c r="F60" s="97" t="n">
        <v>17</v>
      </c>
      <c r="G60" s="97" t="n">
        <v>13336</v>
      </c>
      <c r="H60" s="97" t="n">
        <v>8026</v>
      </c>
      <c r="I60" s="97" t="n">
        <v>5310</v>
      </c>
      <c r="J60" s="98" t="n">
        <v>4598.45</v>
      </c>
      <c r="K60" s="98" t="n">
        <v>4721.12</v>
      </c>
      <c r="L60" s="191">
        <f>F60*(K60-J60)</f>
        <v/>
      </c>
    </row>
    <row r="61" ht="16.5" customHeight="1">
      <c r="A61" s="99" t="n"/>
      <c r="B61" s="99" t="n"/>
      <c r="C61" s="99" t="n"/>
      <c r="D61" s="96" t="inlineStr">
        <is>
          <t>鴻勁(7769)</t>
        </is>
      </c>
      <c r="E61" s="97" t="n">
        <v>13</v>
      </c>
      <c r="F61" s="97" t="n">
        <v>0</v>
      </c>
      <c r="G61" s="97" t="n">
        <v>8872</v>
      </c>
      <c r="H61" s="97" t="n">
        <v>0</v>
      </c>
      <c r="I61" s="97" t="n">
        <v>8872</v>
      </c>
      <c r="J61" s="98" t="n">
        <v>6824.23</v>
      </c>
      <c r="K61" s="98" t="n">
        <v>0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富世達(6805)</t>
        </is>
      </c>
      <c r="E62" s="97" t="n">
        <v>40</v>
      </c>
      <c r="F62" s="97" t="n">
        <v>0</v>
      </c>
      <c r="G62" s="97" t="n">
        <v>7452</v>
      </c>
      <c r="H62" s="97" t="n">
        <v>0</v>
      </c>
      <c r="I62" s="97" t="n">
        <v>7452</v>
      </c>
      <c r="J62" s="98" t="n">
        <v>1863</v>
      </c>
      <c r="K62" s="98" t="n">
        <v>0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南亞科(2408)</t>
        </is>
      </c>
      <c r="E63" s="97" t="n">
        <v>97</v>
      </c>
      <c r="F63" s="97" t="n">
        <v>36</v>
      </c>
      <c r="G63" s="97" t="n">
        <v>5113</v>
      </c>
      <c r="H63" s="97" t="n">
        <v>1892</v>
      </c>
      <c r="I63" s="97" t="n">
        <v>3221</v>
      </c>
      <c r="J63" s="98" t="n">
        <v>527.08</v>
      </c>
      <c r="K63" s="98" t="n">
        <v>525.61</v>
      </c>
      <c r="L63" s="192">
        <f>F63*(K63-J63)</f>
        <v/>
      </c>
    </row>
    <row r="64" ht="16.5" customHeight="1">
      <c r="A64" s="99" t="n"/>
      <c r="B64" s="99" t="n"/>
      <c r="C64" s="99" t="n"/>
      <c r="D64" s="96" t="inlineStr">
        <is>
          <t>南電(8046)</t>
        </is>
      </c>
      <c r="E64" s="97" t="n">
        <v>39</v>
      </c>
      <c r="F64" s="97" t="n">
        <v>4</v>
      </c>
      <c r="G64" s="97" t="n">
        <v>4989</v>
      </c>
      <c r="H64" s="97" t="n">
        <v>520</v>
      </c>
      <c r="I64" s="97" t="n">
        <v>4469</v>
      </c>
      <c r="J64" s="98" t="n">
        <v>1279.23</v>
      </c>
      <c r="K64" s="98" t="n">
        <v>1299.75</v>
      </c>
      <c r="L64" s="191">
        <f>F64*(K64-J64)</f>
        <v/>
      </c>
    </row>
    <row r="65" ht="16.5" customHeight="1">
      <c r="A65" s="99" t="n"/>
      <c r="B65" s="99" t="n"/>
      <c r="C65" s="99" t="n"/>
      <c r="D65" s="96" t="inlineStr">
        <is>
          <t>台燿(6274)</t>
        </is>
      </c>
      <c r="E65" s="97" t="n">
        <v>26</v>
      </c>
      <c r="F65" s="97" t="n">
        <v>1</v>
      </c>
      <c r="G65" s="97" t="n">
        <v>4451</v>
      </c>
      <c r="H65" s="97" t="n">
        <v>1</v>
      </c>
      <c r="I65" s="97" t="n">
        <v>4450</v>
      </c>
      <c r="J65" s="98" t="n">
        <v>1711.88</v>
      </c>
      <c r="K65" s="98" t="n">
        <v>10</v>
      </c>
      <c r="L65" s="192">
        <f>F65*(K65-J65)</f>
        <v/>
      </c>
    </row>
    <row r="66" ht="16.5" customHeight="1">
      <c r="A66" s="99" t="n"/>
      <c r="B66" s="99" t="n"/>
      <c r="C66" s="99" t="n"/>
      <c r="D66" s="96" t="inlineStr">
        <is>
          <t>聯發科(2454)</t>
        </is>
      </c>
      <c r="E66" s="97" t="n">
        <v>9</v>
      </c>
      <c r="F66" s="97" t="n">
        <v>3</v>
      </c>
      <c r="G66" s="97" t="n">
        <v>3876</v>
      </c>
      <c r="H66" s="97" t="n">
        <v>1379</v>
      </c>
      <c r="I66" s="97" t="n">
        <v>2497</v>
      </c>
      <c r="J66" s="98" t="n">
        <v>4307.22</v>
      </c>
      <c r="K66" s="98" t="n">
        <v>4596.33</v>
      </c>
      <c r="L66" s="191">
        <f>F66*(K66-J66)</f>
        <v/>
      </c>
    </row>
    <row r="67" ht="16.5" customHeight="1">
      <c r="A67" s="99" t="n"/>
      <c r="B67" s="99" t="n"/>
      <c r="C67" s="99" t="n"/>
      <c r="D67" s="96" t="inlineStr">
        <is>
          <t>台達電(2308)</t>
        </is>
      </c>
      <c r="E67" s="97" t="n">
        <v>20</v>
      </c>
      <c r="F67" s="97" t="n">
        <v>1</v>
      </c>
      <c r="G67" s="97" t="n">
        <v>3683</v>
      </c>
      <c r="H67" s="97" t="n">
        <v>21</v>
      </c>
      <c r="I67" s="97" t="n">
        <v>3662</v>
      </c>
      <c r="J67" s="98" t="n">
        <v>1841.6</v>
      </c>
      <c r="K67" s="98" t="n">
        <v>214</v>
      </c>
      <c r="L67" s="192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仁寶(2324)</t>
        </is>
      </c>
      <c r="E69" s="97" t="n">
        <v>22340</v>
      </c>
      <c r="F69" s="97" t="n">
        <v>21575</v>
      </c>
      <c r="G69" s="97" t="n">
        <v>96492</v>
      </c>
      <c r="H69" s="97" t="n">
        <v>93139</v>
      </c>
      <c r="I69" s="97" t="n">
        <v>3353</v>
      </c>
      <c r="J69" s="98" t="n">
        <v>43.19</v>
      </c>
      <c r="K69" s="98" t="n">
        <v>43.17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漢翔(2634)</t>
        </is>
      </c>
      <c r="E70" s="97" t="n">
        <v>5180</v>
      </c>
      <c r="F70" s="97" t="n">
        <v>64</v>
      </c>
      <c r="G70" s="97" t="n">
        <v>36562</v>
      </c>
      <c r="H70" s="97" t="n">
        <v>442</v>
      </c>
      <c r="I70" s="97" t="n">
        <v>36120</v>
      </c>
      <c r="J70" s="98" t="n">
        <v>70.58</v>
      </c>
      <c r="K70" s="98" t="n">
        <v>69.09</v>
      </c>
      <c r="L70" s="192">
        <f>F70*(K70-J70)</f>
        <v/>
      </c>
    </row>
    <row r="71" ht="16.5" customHeight="1">
      <c r="A71" s="99" t="n"/>
      <c r="B71" s="99" t="n"/>
      <c r="C71" s="99" t="n"/>
      <c r="D71" s="96" t="inlineStr">
        <is>
          <t>南電(8046)</t>
        </is>
      </c>
      <c r="E71" s="97" t="n">
        <v>263</v>
      </c>
      <c r="F71" s="97" t="n">
        <v>217</v>
      </c>
      <c r="G71" s="97" t="n">
        <v>34919</v>
      </c>
      <c r="H71" s="97" t="n">
        <v>28245</v>
      </c>
      <c r="I71" s="97" t="n">
        <v>6674</v>
      </c>
      <c r="J71" s="98" t="n">
        <v>1327.73</v>
      </c>
      <c r="K71" s="98" t="n">
        <v>1301.61</v>
      </c>
      <c r="L71" s="192">
        <f>F71*(K71-J71)</f>
        <v/>
      </c>
    </row>
    <row r="72" ht="16.5" customHeight="1">
      <c r="A72" s="99" t="n"/>
      <c r="B72" s="99" t="n"/>
      <c r="C72" s="99" t="n"/>
      <c r="D72" s="96" t="inlineStr">
        <is>
          <t>聯發科(2454)</t>
        </is>
      </c>
      <c r="E72" s="97" t="n">
        <v>78</v>
      </c>
      <c r="F72" s="97" t="n">
        <v>77</v>
      </c>
      <c r="G72" s="97" t="n">
        <v>32722</v>
      </c>
      <c r="H72" s="97" t="n">
        <v>32423</v>
      </c>
      <c r="I72" s="97" t="n">
        <v>299</v>
      </c>
      <c r="J72" s="98" t="n">
        <v>4195.12</v>
      </c>
      <c r="K72" s="98" t="n">
        <v>4210.77</v>
      </c>
      <c r="L72" s="191">
        <f>F72*(K72-J72)</f>
        <v/>
      </c>
    </row>
    <row r="73" ht="16.5" customHeight="1">
      <c r="A73" s="99" t="n"/>
      <c r="B73" s="99" t="n"/>
      <c r="C73" s="99" t="n"/>
      <c r="D73" s="96" t="inlineStr">
        <is>
          <t>精測(6510)</t>
        </is>
      </c>
      <c r="E73" s="97" t="n">
        <v>93</v>
      </c>
      <c r="F73" s="97" t="n">
        <v>0</v>
      </c>
      <c r="G73" s="97" t="n">
        <v>27639</v>
      </c>
      <c r="H73" s="97" t="n">
        <v>0</v>
      </c>
      <c r="I73" s="97" t="n">
        <v>27639</v>
      </c>
      <c r="J73" s="98" t="n">
        <v>2971.94</v>
      </c>
      <c r="K73" s="98" t="n">
        <v>0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力積電(6770)</t>
        </is>
      </c>
      <c r="E74" s="97" t="n">
        <v>1258</v>
      </c>
      <c r="F74" s="97" t="n">
        <v>188</v>
      </c>
      <c r="G74" s="97" t="n">
        <v>10006</v>
      </c>
      <c r="H74" s="97" t="n">
        <v>1484</v>
      </c>
      <c r="I74" s="97" t="n">
        <v>8522</v>
      </c>
      <c r="J74" s="98" t="n">
        <v>79.54000000000001</v>
      </c>
      <c r="K74" s="98" t="n">
        <v>78.91</v>
      </c>
      <c r="L74" s="192">
        <f>F74*(K74-J74)</f>
        <v/>
      </c>
    </row>
    <row r="75" ht="16.5" customHeight="1">
      <c r="A75" s="99" t="n"/>
      <c r="B75" s="99" t="n"/>
      <c r="C75" s="99" t="n"/>
      <c r="D75" s="96" t="inlineStr">
        <is>
          <t>創意(3443)</t>
        </is>
      </c>
      <c r="E75" s="97" t="n">
        <v>12</v>
      </c>
      <c r="F75" s="97" t="n">
        <v>3</v>
      </c>
      <c r="G75" s="97" t="n">
        <v>6782</v>
      </c>
      <c r="H75" s="97" t="n">
        <v>1763</v>
      </c>
      <c r="I75" s="97" t="n">
        <v>5019</v>
      </c>
      <c r="J75" s="98" t="n">
        <v>5651.33</v>
      </c>
      <c r="K75" s="98" t="n">
        <v>5878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營邦(3693)</t>
        </is>
      </c>
      <c r="E76" s="97" t="n">
        <v>100</v>
      </c>
      <c r="F76" s="97" t="n">
        <v>0</v>
      </c>
      <c r="G76" s="97" t="n">
        <v>5581</v>
      </c>
      <c r="H76" s="97" t="n">
        <v>0</v>
      </c>
      <c r="I76" s="97" t="n">
        <v>5581</v>
      </c>
      <c r="J76" s="98" t="n">
        <v>558.14</v>
      </c>
      <c r="K76" s="98" t="n">
        <v>0</v>
      </c>
      <c r="L76" s="191">
        <f>F76*(K76-J76)</f>
        <v/>
      </c>
    </row>
    <row r="77" ht="16.5" customHeight="1">
      <c r="A77" s="99" t="n"/>
      <c r="B77" s="99" t="n"/>
      <c r="C77" s="99" t="n"/>
      <c r="D77" s="96" t="inlineStr">
        <is>
          <t>台勝科(3532)</t>
        </is>
      </c>
      <c r="E77" s="97" t="n">
        <v>120</v>
      </c>
      <c r="F77" s="97" t="n">
        <v>100</v>
      </c>
      <c r="G77" s="97" t="n">
        <v>4200</v>
      </c>
      <c r="H77" s="97" t="n">
        <v>3468</v>
      </c>
      <c r="I77" s="97" t="n">
        <v>732</v>
      </c>
      <c r="J77" s="98" t="n">
        <v>350.01</v>
      </c>
      <c r="K77" s="98" t="n">
        <v>346.83</v>
      </c>
      <c r="L77" s="192">
        <f>F77*(K77-J77)</f>
        <v/>
      </c>
    </row>
    <row r="78" ht="16.5" customHeight="1">
      <c r="A78" s="99" t="n"/>
      <c r="B78" s="99" t="n"/>
      <c r="C78" s="99" t="n"/>
      <c r="D78" s="96" t="inlineStr">
        <is>
          <t>宜鼎(5289)</t>
        </is>
      </c>
      <c r="E78" s="97" t="n">
        <v>22</v>
      </c>
      <c r="F78" s="97" t="n">
        <v>0</v>
      </c>
      <c r="G78" s="97" t="n">
        <v>3337</v>
      </c>
      <c r="H78" s="97" t="n">
        <v>0</v>
      </c>
      <c r="I78" s="97" t="n">
        <v>3337</v>
      </c>
      <c r="J78" s="98" t="n">
        <v>1516.82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1455</v>
      </c>
      <c r="F80" s="104" t="n">
        <v>1232</v>
      </c>
      <c r="G80" s="104" t="n">
        <v>29900</v>
      </c>
      <c r="H80" s="104" t="n">
        <v>25527</v>
      </c>
      <c r="I80" s="104" t="n">
        <v>4373</v>
      </c>
      <c r="J80" s="105" t="n">
        <v>205.5</v>
      </c>
      <c r="K80" s="105" t="n">
        <v>207.2</v>
      </c>
      <c r="L80" s="191">
        <f>F80*(K80-J80)</f>
        <v/>
      </c>
    </row>
    <row r="81" ht="16.5" customHeight="1">
      <c r="A81" s="106" t="n"/>
      <c r="B81" s="106" t="n"/>
      <c r="C81" s="106" t="n"/>
      <c r="D81" s="103" t="inlineStr">
        <is>
          <t>仁寶(2324)</t>
        </is>
      </c>
      <c r="E81" s="104" t="n">
        <v>5822</v>
      </c>
      <c r="F81" s="104" t="n">
        <v>471</v>
      </c>
      <c r="G81" s="104" t="n">
        <v>24988</v>
      </c>
      <c r="H81" s="104" t="n">
        <v>1991</v>
      </c>
      <c r="I81" s="104" t="n">
        <v>22997</v>
      </c>
      <c r="J81" s="105" t="n">
        <v>42.92</v>
      </c>
      <c r="K81" s="105" t="n">
        <v>42.26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聯發科(2454)</t>
        </is>
      </c>
      <c r="E82" s="104" t="n">
        <v>32</v>
      </c>
      <c r="F82" s="104" t="n">
        <v>29</v>
      </c>
      <c r="G82" s="104" t="n">
        <v>13397</v>
      </c>
      <c r="H82" s="104" t="n">
        <v>12115</v>
      </c>
      <c r="I82" s="104" t="n">
        <v>1282</v>
      </c>
      <c r="J82" s="105" t="n">
        <v>4186.59</v>
      </c>
      <c r="K82" s="105" t="n">
        <v>4177.72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緯穎(6669)</t>
        </is>
      </c>
      <c r="E83" s="104" t="n">
        <v>19</v>
      </c>
      <c r="F83" s="104" t="n">
        <v>3</v>
      </c>
      <c r="G83" s="104" t="n">
        <v>12066</v>
      </c>
      <c r="H83" s="104" t="n">
        <v>1950</v>
      </c>
      <c r="I83" s="104" t="n">
        <v>10116</v>
      </c>
      <c r="J83" s="105" t="n">
        <v>6350.32</v>
      </c>
      <c r="K83" s="105" t="n">
        <v>6498.67</v>
      </c>
      <c r="L83" s="191">
        <f>F83*(K83-J83)</f>
        <v/>
      </c>
    </row>
    <row r="84" ht="16.5" customHeight="1">
      <c r="A84" s="106" t="n"/>
      <c r="B84" s="106" t="n"/>
      <c r="C84" s="106" t="n"/>
      <c r="D84" s="103" t="inlineStr">
        <is>
          <t>大立光(3008)</t>
        </is>
      </c>
      <c r="E84" s="104" t="n">
        <v>26</v>
      </c>
      <c r="F84" s="104" t="n">
        <v>1</v>
      </c>
      <c r="G84" s="104" t="n">
        <v>11761</v>
      </c>
      <c r="H84" s="104" t="n">
        <v>3</v>
      </c>
      <c r="I84" s="104" t="n">
        <v>11758</v>
      </c>
      <c r="J84" s="105" t="n">
        <v>4523.46</v>
      </c>
      <c r="K84" s="105" t="n">
        <v>29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合晶(6182)</t>
        </is>
      </c>
      <c r="E85" s="104" t="n">
        <v>953</v>
      </c>
      <c r="F85" s="104" t="n">
        <v>752</v>
      </c>
      <c r="G85" s="104" t="n">
        <v>11097</v>
      </c>
      <c r="H85" s="104" t="n">
        <v>8511</v>
      </c>
      <c r="I85" s="104" t="n">
        <v>2586</v>
      </c>
      <c r="J85" s="105" t="n">
        <v>116.44</v>
      </c>
      <c r="K85" s="105" t="n">
        <v>113.18</v>
      </c>
      <c r="L85" s="192">
        <f>F85*(K85-J85)</f>
        <v/>
      </c>
    </row>
    <row r="86" ht="16.5" customHeight="1">
      <c r="A86" s="106" t="n"/>
      <c r="B86" s="106" t="n"/>
      <c r="C86" s="106" t="n"/>
      <c r="D86" s="103" t="inlineStr">
        <is>
          <t>緯創(3231)</t>
        </is>
      </c>
      <c r="E86" s="104" t="n">
        <v>369</v>
      </c>
      <c r="F86" s="104" t="n">
        <v>241</v>
      </c>
      <c r="G86" s="104" t="n">
        <v>7508</v>
      </c>
      <c r="H86" s="104" t="n">
        <v>4797</v>
      </c>
      <c r="I86" s="104" t="n">
        <v>2711</v>
      </c>
      <c r="J86" s="105" t="n">
        <v>203.47</v>
      </c>
      <c r="K86" s="105" t="n">
        <v>199.05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亞泰金屬(6727)</t>
        </is>
      </c>
      <c r="E87" s="104" t="n">
        <v>109</v>
      </c>
      <c r="F87" s="104" t="n">
        <v>2</v>
      </c>
      <c r="G87" s="104" t="n">
        <v>4704</v>
      </c>
      <c r="H87" s="104" t="n">
        <v>86</v>
      </c>
      <c r="I87" s="104" t="n">
        <v>4618</v>
      </c>
      <c r="J87" s="105" t="n">
        <v>431.6</v>
      </c>
      <c r="K87" s="105" t="n">
        <v>432</v>
      </c>
      <c r="L87" s="191">
        <f>F87*(K87-J87)</f>
        <v/>
      </c>
    </row>
    <row r="88" ht="16.5" customHeight="1">
      <c r="A88" s="106" t="n"/>
      <c r="B88" s="106" t="n"/>
      <c r="C88" s="106" t="n"/>
      <c r="D88" s="103" t="inlineStr">
        <is>
          <t>國巨*(2327)</t>
        </is>
      </c>
      <c r="E88" s="104" t="n">
        <v>72</v>
      </c>
      <c r="F88" s="104" t="n">
        <v>33</v>
      </c>
      <c r="G88" s="104" t="n">
        <v>4601</v>
      </c>
      <c r="H88" s="104" t="n">
        <v>2127</v>
      </c>
      <c r="I88" s="104" t="n">
        <v>2474</v>
      </c>
      <c r="J88" s="105" t="n">
        <v>639.03</v>
      </c>
      <c r="K88" s="105" t="n">
        <v>644.61</v>
      </c>
      <c r="L88" s="191">
        <f>F88*(K88-J88)</f>
        <v/>
      </c>
    </row>
    <row r="89" ht="16.5" customHeight="1">
      <c r="A89" s="106" t="n"/>
      <c r="B89" s="106" t="n"/>
      <c r="C89" s="106" t="n"/>
      <c r="D89" s="103" t="inlineStr">
        <is>
          <t>南電(8046)</t>
        </is>
      </c>
      <c r="E89" s="104" t="n">
        <v>33</v>
      </c>
      <c r="F89" s="104" t="n">
        <v>26</v>
      </c>
      <c r="G89" s="104" t="n">
        <v>4342</v>
      </c>
      <c r="H89" s="104" t="n">
        <v>3340</v>
      </c>
      <c r="I89" s="104" t="n">
        <v>1002</v>
      </c>
      <c r="J89" s="105" t="n">
        <v>1315.73</v>
      </c>
      <c r="K89" s="105" t="n">
        <v>1284.58</v>
      </c>
      <c r="L89" s="192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群聯(8299)</t>
        </is>
      </c>
      <c r="E91" s="104" t="n">
        <v>40</v>
      </c>
      <c r="F91" s="104" t="n">
        <v>23</v>
      </c>
      <c r="G91" s="104" t="n">
        <v>8679</v>
      </c>
      <c r="H91" s="104" t="n">
        <v>5294</v>
      </c>
      <c r="I91" s="104" t="n">
        <v>3385</v>
      </c>
      <c r="J91" s="105" t="n">
        <v>2169.7</v>
      </c>
      <c r="K91" s="105" t="n">
        <v>2301.57</v>
      </c>
      <c r="L91" s="191">
        <f>F91*(K91-J91)</f>
        <v/>
      </c>
    </row>
    <row r="92" ht="16.5" customHeight="1">
      <c r="A92" s="106" t="n"/>
      <c r="B92" s="106" t="n"/>
      <c r="C92" s="106" t="n"/>
      <c r="D92" s="103" t="inlineStr">
        <is>
          <t>台積電(2330)</t>
        </is>
      </c>
      <c r="E92" s="104" t="n">
        <v>28</v>
      </c>
      <c r="F92" s="104" t="n">
        <v>26</v>
      </c>
      <c r="G92" s="104" t="n">
        <v>6594</v>
      </c>
      <c r="H92" s="104" t="n">
        <v>6314</v>
      </c>
      <c r="I92" s="104" t="n">
        <v>280</v>
      </c>
      <c r="J92" s="105" t="n">
        <v>2354.89</v>
      </c>
      <c r="K92" s="105" t="n">
        <v>2428.46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金居(8358)</t>
        </is>
      </c>
      <c r="E93" s="104" t="n">
        <v>141</v>
      </c>
      <c r="F93" s="104" t="n">
        <v>127</v>
      </c>
      <c r="G93" s="104" t="n">
        <v>6023</v>
      </c>
      <c r="H93" s="104" t="n">
        <v>5452</v>
      </c>
      <c r="I93" s="104" t="n">
        <v>571</v>
      </c>
      <c r="J93" s="105" t="n">
        <v>427.13</v>
      </c>
      <c r="K93" s="105" t="n">
        <v>429.28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德宏(5475)</t>
        </is>
      </c>
      <c r="E94" s="104" t="n">
        <v>304</v>
      </c>
      <c r="F94" s="104" t="n">
        <v>288</v>
      </c>
      <c r="G94" s="104" t="n">
        <v>5176</v>
      </c>
      <c r="H94" s="104" t="n">
        <v>4911</v>
      </c>
      <c r="I94" s="104" t="n">
        <v>265</v>
      </c>
      <c r="J94" s="105" t="n">
        <v>170.28</v>
      </c>
      <c r="K94" s="105" t="n">
        <v>170.53</v>
      </c>
      <c r="L94" s="191">
        <f>F94*(K94-J94)</f>
        <v/>
      </c>
    </row>
    <row r="95" ht="16.5" customHeight="1">
      <c r="A95" s="106" t="n"/>
      <c r="B95" s="106" t="n"/>
      <c r="C95" s="106" t="n"/>
      <c r="D95" s="103" t="inlineStr">
        <is>
          <t>國巨*(2327)</t>
        </is>
      </c>
      <c r="E95" s="104" t="n">
        <v>54</v>
      </c>
      <c r="F95" s="104" t="n">
        <v>30</v>
      </c>
      <c r="G95" s="104" t="n">
        <v>3477</v>
      </c>
      <c r="H95" s="104" t="n">
        <v>1953</v>
      </c>
      <c r="I95" s="104" t="n">
        <v>1524</v>
      </c>
      <c r="J95" s="105" t="n">
        <v>643.83</v>
      </c>
      <c r="K95" s="105" t="n">
        <v>651.0700000000001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聯發科(2454)</t>
        </is>
      </c>
      <c r="E96" s="104" t="n">
        <v>7</v>
      </c>
      <c r="F96" s="104" t="n">
        <v>4</v>
      </c>
      <c r="G96" s="104" t="n">
        <v>3128</v>
      </c>
      <c r="H96" s="104" t="n">
        <v>1625</v>
      </c>
      <c r="I96" s="104" t="n">
        <v>1503</v>
      </c>
      <c r="J96" s="105" t="n">
        <v>4467.86</v>
      </c>
      <c r="K96" s="105" t="n">
        <v>4063.5</v>
      </c>
      <c r="L96" s="192">
        <f>F96*(K96-J96)</f>
        <v/>
      </c>
    </row>
    <row r="97" ht="16.5" customHeight="1">
      <c r="A97" s="106" t="n"/>
      <c r="B97" s="106" t="n"/>
      <c r="C97" s="106" t="n"/>
      <c r="D97" s="103" t="inlineStr">
        <is>
          <t>友達(2409)</t>
        </is>
      </c>
      <c r="E97" s="104" t="n">
        <v>603</v>
      </c>
      <c r="F97" s="104" t="n">
        <v>514</v>
      </c>
      <c r="G97" s="104" t="n">
        <v>1566</v>
      </c>
      <c r="H97" s="104" t="n">
        <v>1339</v>
      </c>
      <c r="I97" s="104" t="n">
        <v>227</v>
      </c>
      <c r="J97" s="105" t="n">
        <v>25.97</v>
      </c>
      <c r="K97" s="105" t="n">
        <v>26.04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台燿(6274)</t>
        </is>
      </c>
      <c r="E98" s="104" t="n">
        <v>9</v>
      </c>
      <c r="F98" s="104" t="n">
        <v>1</v>
      </c>
      <c r="G98" s="104" t="n">
        <v>1518</v>
      </c>
      <c r="H98" s="104" t="n">
        <v>0</v>
      </c>
      <c r="I98" s="104" t="n">
        <v>1518</v>
      </c>
      <c r="J98" s="105" t="n">
        <v>1686.67</v>
      </c>
      <c r="K98" s="105" t="n">
        <v>2</v>
      </c>
      <c r="L98" s="192">
        <f>F98*(K98-J98)</f>
        <v/>
      </c>
    </row>
    <row r="99" ht="16.5" customHeight="1">
      <c r="A99" s="106" t="n"/>
      <c r="B99" s="106" t="n"/>
      <c r="C99" s="106" t="n"/>
      <c r="D99" s="103" t="inlineStr">
        <is>
          <t>昇陽半導體(8028)</t>
        </is>
      </c>
      <c r="E99" s="104" t="n">
        <v>38</v>
      </c>
      <c r="F99" s="104" t="n">
        <v>0</v>
      </c>
      <c r="G99" s="104" t="n">
        <v>1020</v>
      </c>
      <c r="H99" s="104" t="n">
        <v>0</v>
      </c>
      <c r="I99" s="104" t="n">
        <v>1020</v>
      </c>
      <c r="J99" s="105" t="n">
        <v>268.39</v>
      </c>
      <c r="K99" s="105" t="n">
        <v>0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世芯-KY(3661)</t>
        </is>
      </c>
      <c r="E100" s="104" t="n">
        <v>2</v>
      </c>
      <c r="F100" s="104" t="n">
        <v>1</v>
      </c>
      <c r="G100" s="104" t="n">
        <v>908</v>
      </c>
      <c r="H100" s="104" t="n">
        <v>499</v>
      </c>
      <c r="I100" s="104" t="n">
        <v>409</v>
      </c>
      <c r="J100" s="105" t="n">
        <v>4541</v>
      </c>
      <c r="K100" s="105" t="n">
        <v>4989</v>
      </c>
      <c r="L100" s="191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南亞(1303)</t>
        </is>
      </c>
      <c r="E102" s="104" t="n">
        <v>15237</v>
      </c>
      <c r="F102" s="104" t="n">
        <v>3269</v>
      </c>
      <c r="G102" s="104" t="n">
        <v>315613</v>
      </c>
      <c r="H102" s="104" t="n">
        <v>67686</v>
      </c>
      <c r="I102" s="104" t="n">
        <v>247927</v>
      </c>
      <c r="J102" s="105" t="n">
        <v>207.14</v>
      </c>
      <c r="K102" s="105" t="n">
        <v>207.05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台積電(2330)</t>
        </is>
      </c>
      <c r="E103" s="104" t="n">
        <v>182</v>
      </c>
      <c r="F103" s="104" t="n">
        <v>12</v>
      </c>
      <c r="G103" s="104" t="n">
        <v>43829</v>
      </c>
      <c r="H103" s="104" t="n">
        <v>2902</v>
      </c>
      <c r="I103" s="104" t="n">
        <v>40927</v>
      </c>
      <c r="J103" s="105" t="n">
        <v>2408.21</v>
      </c>
      <c r="K103" s="105" t="n">
        <v>2418.17</v>
      </c>
      <c r="L103" s="191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群聯(8299)</t>
        </is>
      </c>
      <c r="E104" s="104" t="n">
        <v>93</v>
      </c>
      <c r="F104" s="104" t="n">
        <v>76</v>
      </c>
      <c r="G104" s="104" t="n">
        <v>19385</v>
      </c>
      <c r="H104" s="104" t="n">
        <v>15906</v>
      </c>
      <c r="I104" s="104" t="n">
        <v>3479</v>
      </c>
      <c r="J104" s="105" t="n">
        <v>2084.45</v>
      </c>
      <c r="K104" s="105" t="n">
        <v>2092.83</v>
      </c>
      <c r="L104" s="191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千附精密(6829)</t>
        </is>
      </c>
      <c r="E105" s="104" t="n">
        <v>688</v>
      </c>
      <c r="F105" s="104" t="n">
        <v>8</v>
      </c>
      <c r="G105" s="104" t="n">
        <v>16792</v>
      </c>
      <c r="H105" s="104" t="n">
        <v>187</v>
      </c>
      <c r="I105" s="104" t="n">
        <v>16605</v>
      </c>
      <c r="J105" s="105" t="n">
        <v>244.06</v>
      </c>
      <c r="K105" s="105" t="n">
        <v>233.25</v>
      </c>
      <c r="L105" s="192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南電(8046)</t>
        </is>
      </c>
      <c r="E106" s="104" t="n">
        <v>116</v>
      </c>
      <c r="F106" s="104" t="n">
        <v>30</v>
      </c>
      <c r="G106" s="104" t="n">
        <v>15441</v>
      </c>
      <c r="H106" s="104" t="n">
        <v>3982</v>
      </c>
      <c r="I106" s="104" t="n">
        <v>11459</v>
      </c>
      <c r="J106" s="105" t="n">
        <v>1331.1</v>
      </c>
      <c r="K106" s="105" t="n">
        <v>1327.4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南亞科(2408)</t>
        </is>
      </c>
      <c r="E107" s="104" t="n">
        <v>267</v>
      </c>
      <c r="F107" s="104" t="n">
        <v>229</v>
      </c>
      <c r="G107" s="104" t="n">
        <v>13695</v>
      </c>
      <c r="H107" s="104" t="n">
        <v>11742</v>
      </c>
      <c r="I107" s="104" t="n">
        <v>1953</v>
      </c>
      <c r="J107" s="105" t="n">
        <v>512.9299999999999</v>
      </c>
      <c r="K107" s="105" t="n">
        <v>512.75</v>
      </c>
      <c r="L107" s="192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雙鍵(4764)</t>
        </is>
      </c>
      <c r="E108" s="104" t="n">
        <v>540</v>
      </c>
      <c r="F108" s="104" t="n">
        <v>8</v>
      </c>
      <c r="G108" s="104" t="n">
        <v>12788</v>
      </c>
      <c r="H108" s="104" t="n">
        <v>188</v>
      </c>
      <c r="I108" s="104" t="n">
        <v>12600</v>
      </c>
      <c r="J108" s="105" t="n">
        <v>236.81</v>
      </c>
      <c r="K108" s="105" t="n">
        <v>234.62</v>
      </c>
      <c r="L108" s="192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台虹(8039)</t>
        </is>
      </c>
      <c r="E109" s="104" t="n">
        <v>432</v>
      </c>
      <c r="F109" s="104" t="n">
        <v>235</v>
      </c>
      <c r="G109" s="104" t="n">
        <v>11798</v>
      </c>
      <c r="H109" s="104" t="n">
        <v>6376</v>
      </c>
      <c r="I109" s="104" t="n">
        <v>5422</v>
      </c>
      <c r="J109" s="105" t="n">
        <v>273.1</v>
      </c>
      <c r="K109" s="105" t="n">
        <v>271.34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奇鋐(3017)</t>
        </is>
      </c>
      <c r="E110" s="104" t="n">
        <v>36</v>
      </c>
      <c r="F110" s="104" t="n">
        <v>28</v>
      </c>
      <c r="G110" s="104" t="n">
        <v>11671</v>
      </c>
      <c r="H110" s="104" t="n">
        <v>8931</v>
      </c>
      <c r="I110" s="104" t="n">
        <v>2740</v>
      </c>
      <c r="J110" s="105" t="n">
        <v>3241.94</v>
      </c>
      <c r="K110" s="105" t="n">
        <v>3189.64</v>
      </c>
      <c r="L110" s="192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國巨*(2327)</t>
        </is>
      </c>
      <c r="E111" s="104" t="n">
        <v>180</v>
      </c>
      <c r="F111" s="104" t="n">
        <v>109</v>
      </c>
      <c r="G111" s="104" t="n">
        <v>11518</v>
      </c>
      <c r="H111" s="104" t="n">
        <v>6918</v>
      </c>
      <c r="I111" s="104" t="n">
        <v>4600</v>
      </c>
      <c r="J111" s="105" t="n">
        <v>639.9</v>
      </c>
      <c r="K111" s="105" t="n">
        <v>634.72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248</v>
      </c>
      <c r="F113" s="104" t="n">
        <v>235</v>
      </c>
      <c r="G113" s="104" t="n">
        <v>12680</v>
      </c>
      <c r="H113" s="104" t="n">
        <v>11902</v>
      </c>
      <c r="I113" s="104" t="n">
        <v>778</v>
      </c>
      <c r="J113" s="105" t="n">
        <v>511.29</v>
      </c>
      <c r="K113" s="105" t="n">
        <v>506.49</v>
      </c>
      <c r="L113" s="192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聯電(2303)</t>
        </is>
      </c>
      <c r="E114" s="104" t="n">
        <v>1036</v>
      </c>
      <c r="F114" s="104" t="n">
        <v>24</v>
      </c>
      <c r="G114" s="104" t="n">
        <v>12635</v>
      </c>
      <c r="H114" s="104" t="n">
        <v>291</v>
      </c>
      <c r="I114" s="104" t="n">
        <v>12344</v>
      </c>
      <c r="J114" s="105" t="n">
        <v>121.96</v>
      </c>
      <c r="K114" s="105" t="n">
        <v>121.38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國巨*(2327)</t>
        </is>
      </c>
      <c r="E115" s="104" t="n">
        <v>50</v>
      </c>
      <c r="F115" s="104" t="n">
        <v>13</v>
      </c>
      <c r="G115" s="104" t="n">
        <v>3168</v>
      </c>
      <c r="H115" s="104" t="n">
        <v>839</v>
      </c>
      <c r="I115" s="104" t="n">
        <v>2329</v>
      </c>
      <c r="J115" s="105" t="n">
        <v>633.66</v>
      </c>
      <c r="K115" s="105" t="n">
        <v>645.23</v>
      </c>
      <c r="L115" s="191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世芯-KY(3661)</t>
        </is>
      </c>
      <c r="E116" s="104" t="n">
        <v>3</v>
      </c>
      <c r="F116" s="104" t="n">
        <v>3</v>
      </c>
      <c r="G116" s="104" t="n">
        <v>1308</v>
      </c>
      <c r="H116" s="104" t="n">
        <v>1073</v>
      </c>
      <c r="I116" s="104" t="n">
        <v>235</v>
      </c>
      <c r="J116" s="105" t="n">
        <v>4358.33</v>
      </c>
      <c r="K116" s="105" t="n">
        <v>3577</v>
      </c>
      <c r="L116" s="192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嘉澤(3533)</t>
        </is>
      </c>
      <c r="E117" s="104" t="n">
        <v>5</v>
      </c>
      <c r="F117" s="104" t="n">
        <v>0</v>
      </c>
      <c r="G117" s="104" t="n">
        <v>926</v>
      </c>
      <c r="H117" s="104" t="n">
        <v>0</v>
      </c>
      <c r="I117" s="104" t="n">
        <v>926</v>
      </c>
      <c r="J117" s="105" t="n">
        <v>1852.4</v>
      </c>
      <c r="K117" s="105" t="n">
        <v>0</v>
      </c>
      <c r="L117" s="191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微星(2377)</t>
        </is>
      </c>
      <c r="E118" s="104" t="n">
        <v>52</v>
      </c>
      <c r="F118" s="104" t="n">
        <v>4</v>
      </c>
      <c r="G118" s="104" t="n">
        <v>848</v>
      </c>
      <c r="H118" s="104" t="n">
        <v>64</v>
      </c>
      <c r="I118" s="104" t="n">
        <v>784</v>
      </c>
      <c r="J118" s="105" t="n">
        <v>163.06</v>
      </c>
      <c r="K118" s="105" t="n">
        <v>159.75</v>
      </c>
      <c r="L118" s="192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光聖(6442)</t>
        </is>
      </c>
      <c r="E119" s="104" t="n">
        <v>5</v>
      </c>
      <c r="F119" s="104" t="n">
        <v>4</v>
      </c>
      <c r="G119" s="104" t="n">
        <v>795</v>
      </c>
      <c r="H119" s="104" t="n">
        <v>551</v>
      </c>
      <c r="I119" s="104" t="n">
        <v>244</v>
      </c>
      <c r="J119" s="105" t="n">
        <v>1589.8</v>
      </c>
      <c r="K119" s="105" t="n">
        <v>1377.5</v>
      </c>
      <c r="L119" s="192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光環(3234)</t>
        </is>
      </c>
      <c r="E120" s="104" t="n">
        <v>52</v>
      </c>
      <c r="F120" s="104" t="n">
        <v>3</v>
      </c>
      <c r="G120" s="104" t="n">
        <v>708</v>
      </c>
      <c r="H120" s="104" t="n">
        <v>41</v>
      </c>
      <c r="I120" s="104" t="n">
        <v>667</v>
      </c>
      <c r="J120" s="105" t="n">
        <v>136.15</v>
      </c>
      <c r="K120" s="105" t="n">
        <v>136.67</v>
      </c>
      <c r="L120" s="191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力旺(3529)</t>
        </is>
      </c>
      <c r="E121" s="104" t="n">
        <v>3</v>
      </c>
      <c r="F121" s="104" t="n">
        <v>1</v>
      </c>
      <c r="G121" s="104" t="n">
        <v>685</v>
      </c>
      <c r="H121" s="104" t="n">
        <v>339</v>
      </c>
      <c r="I121" s="104" t="n">
        <v>346</v>
      </c>
      <c r="J121" s="105" t="n">
        <v>2282.67</v>
      </c>
      <c r="K121" s="105" t="n">
        <v>3390</v>
      </c>
      <c r="L121" s="191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頎邦(6147)</t>
        </is>
      </c>
      <c r="E122" s="104" t="n">
        <v>38</v>
      </c>
      <c r="F122" s="104" t="n">
        <v>28</v>
      </c>
      <c r="G122" s="104" t="n">
        <v>601</v>
      </c>
      <c r="H122" s="104" t="n">
        <v>444</v>
      </c>
      <c r="I122" s="104" t="n">
        <v>157</v>
      </c>
      <c r="J122" s="105" t="n">
        <v>158.08</v>
      </c>
      <c r="K122" s="105" t="n">
        <v>158.68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140</v>
      </c>
      <c r="F124" s="104" t="n">
        <v>65</v>
      </c>
      <c r="G124" s="104" t="n">
        <v>7216</v>
      </c>
      <c r="H124" s="104" t="n">
        <v>3415</v>
      </c>
      <c r="I124" s="104" t="n">
        <v>3801</v>
      </c>
      <c r="J124" s="105" t="n">
        <v>515.4400000000001</v>
      </c>
      <c r="K124" s="105" t="n">
        <v>525.3200000000001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華新科(2492)</t>
        </is>
      </c>
      <c r="E125" s="104" t="n">
        <v>136</v>
      </c>
      <c r="F125" s="104" t="n">
        <v>22</v>
      </c>
      <c r="G125" s="104" t="n">
        <v>4159</v>
      </c>
      <c r="H125" s="104" t="n">
        <v>693</v>
      </c>
      <c r="I125" s="104" t="n">
        <v>3466</v>
      </c>
      <c r="J125" s="105" t="n">
        <v>305.82</v>
      </c>
      <c r="K125" s="105" t="n">
        <v>315.05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台積電(2330)</t>
        </is>
      </c>
      <c r="E126" s="104" t="n">
        <v>16</v>
      </c>
      <c r="F126" s="104" t="n">
        <v>3</v>
      </c>
      <c r="G126" s="104" t="n">
        <v>3808</v>
      </c>
      <c r="H126" s="104" t="n">
        <v>678</v>
      </c>
      <c r="I126" s="104" t="n">
        <v>3130</v>
      </c>
      <c r="J126" s="105" t="n">
        <v>2379.81</v>
      </c>
      <c r="K126" s="105" t="n">
        <v>2261.33</v>
      </c>
      <c r="L126" s="192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國巨*(2327)</t>
        </is>
      </c>
      <c r="E127" s="104" t="n">
        <v>56</v>
      </c>
      <c r="F127" s="104" t="n">
        <v>19</v>
      </c>
      <c r="G127" s="104" t="n">
        <v>3567</v>
      </c>
      <c r="H127" s="104" t="n">
        <v>1234</v>
      </c>
      <c r="I127" s="104" t="n">
        <v>2333</v>
      </c>
      <c r="J127" s="105" t="n">
        <v>637.02</v>
      </c>
      <c r="K127" s="105" t="n">
        <v>649.26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創意(3443)</t>
        </is>
      </c>
      <c r="E128" s="104" t="n">
        <v>6</v>
      </c>
      <c r="F128" s="104" t="n">
        <v>2</v>
      </c>
      <c r="G128" s="104" t="n">
        <v>3300</v>
      </c>
      <c r="H128" s="104" t="n">
        <v>1232</v>
      </c>
      <c r="I128" s="104" t="n">
        <v>2068</v>
      </c>
      <c r="J128" s="105" t="n">
        <v>5499.5</v>
      </c>
      <c r="K128" s="105" t="n">
        <v>6162.5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金像電(2368)</t>
        </is>
      </c>
      <c r="E129" s="104" t="n">
        <v>23</v>
      </c>
      <c r="F129" s="104" t="n">
        <v>1</v>
      </c>
      <c r="G129" s="104" t="n">
        <v>2372</v>
      </c>
      <c r="H129" s="104" t="n">
        <v>17</v>
      </c>
      <c r="I129" s="104" t="n">
        <v>2355</v>
      </c>
      <c r="J129" s="105" t="n">
        <v>1031.35</v>
      </c>
      <c r="K129" s="105" t="n">
        <v>166</v>
      </c>
      <c r="L129" s="192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AES-KY(6781)</t>
        </is>
      </c>
      <c r="E130" s="104" t="n">
        <v>20</v>
      </c>
      <c r="F130" s="104" t="n">
        <v>1</v>
      </c>
      <c r="G130" s="104" t="n">
        <v>2264</v>
      </c>
      <c r="H130" s="104" t="n">
        <v>6</v>
      </c>
      <c r="I130" s="104" t="n">
        <v>2258</v>
      </c>
      <c r="J130" s="105" t="n">
        <v>1132</v>
      </c>
      <c r="K130" s="105" t="n">
        <v>56</v>
      </c>
      <c r="L130" s="192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群創(3481)</t>
        </is>
      </c>
      <c r="E131" s="104" t="n">
        <v>277</v>
      </c>
      <c r="F131" s="104" t="n">
        <v>205</v>
      </c>
      <c r="G131" s="104" t="n">
        <v>1395</v>
      </c>
      <c r="H131" s="104" t="n">
        <v>1039</v>
      </c>
      <c r="I131" s="104" t="n">
        <v>356</v>
      </c>
      <c r="J131" s="105" t="n">
        <v>50.37</v>
      </c>
      <c r="K131" s="105" t="n">
        <v>50.66</v>
      </c>
      <c r="L131" s="191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緯創(3231)</t>
        </is>
      </c>
      <c r="E132" s="104" t="n">
        <v>71</v>
      </c>
      <c r="F132" s="104" t="n">
        <v>44</v>
      </c>
      <c r="G132" s="104" t="n">
        <v>1377</v>
      </c>
      <c r="H132" s="104" t="n">
        <v>843</v>
      </c>
      <c r="I132" s="104" t="n">
        <v>534</v>
      </c>
      <c r="J132" s="105" t="n">
        <v>194</v>
      </c>
      <c r="K132" s="105" t="n">
        <v>191.57</v>
      </c>
      <c r="L132" s="192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台達電(2308)</t>
        </is>
      </c>
      <c r="E133" s="104" t="n">
        <v>7</v>
      </c>
      <c r="F133" s="104" t="n">
        <v>3</v>
      </c>
      <c r="G133" s="104" t="n">
        <v>1274</v>
      </c>
      <c r="H133" s="104" t="n">
        <v>651</v>
      </c>
      <c r="I133" s="104" t="n">
        <v>623</v>
      </c>
      <c r="J133" s="105" t="n">
        <v>1820.71</v>
      </c>
      <c r="K133" s="105" t="n">
        <v>2171.33</v>
      </c>
      <c r="L133" s="191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127</v>
      </c>
      <c r="F135" s="104" t="n">
        <v>14</v>
      </c>
      <c r="G135" s="104" t="n">
        <v>81840</v>
      </c>
      <c r="H135" s="104" t="n">
        <v>9250</v>
      </c>
      <c r="I135" s="104" t="n">
        <v>72590</v>
      </c>
      <c r="J135" s="105" t="n">
        <v>6444.06</v>
      </c>
      <c r="K135" s="105" t="n">
        <v>6607</v>
      </c>
      <c r="L135" s="191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永豐金(2890)</t>
        </is>
      </c>
      <c r="E136" s="104" t="n">
        <v>15023</v>
      </c>
      <c r="F136" s="104" t="n">
        <v>372</v>
      </c>
      <c r="G136" s="104" t="n">
        <v>61187</v>
      </c>
      <c r="H136" s="104" t="n">
        <v>1482</v>
      </c>
      <c r="I136" s="104" t="n">
        <v>59705</v>
      </c>
      <c r="J136" s="105" t="n">
        <v>40.73</v>
      </c>
      <c r="K136" s="105" t="n">
        <v>39.83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台光電(2383)</t>
        </is>
      </c>
      <c r="E137" s="104" t="n">
        <v>98</v>
      </c>
      <c r="F137" s="104" t="n">
        <v>25</v>
      </c>
      <c r="G137" s="104" t="n">
        <v>60180</v>
      </c>
      <c r="H137" s="104" t="n">
        <v>15682</v>
      </c>
      <c r="I137" s="104" t="n">
        <v>44498</v>
      </c>
      <c r="J137" s="105" t="n">
        <v>6140.77</v>
      </c>
      <c r="K137" s="105" t="n">
        <v>6272.72</v>
      </c>
      <c r="L137" s="191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第一金(2892)</t>
        </is>
      </c>
      <c r="E138" s="104" t="n">
        <v>15047</v>
      </c>
      <c r="F138" s="104" t="n">
        <v>646</v>
      </c>
      <c r="G138" s="104" t="n">
        <v>50445</v>
      </c>
      <c r="H138" s="104" t="n">
        <v>2132</v>
      </c>
      <c r="I138" s="104" t="n">
        <v>48313</v>
      </c>
      <c r="J138" s="105" t="n">
        <v>33.52</v>
      </c>
      <c r="K138" s="105" t="n">
        <v>33.01</v>
      </c>
      <c r="L138" s="192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南電(8046)</t>
        </is>
      </c>
      <c r="E139" s="104" t="n">
        <v>340</v>
      </c>
      <c r="F139" s="104" t="n">
        <v>152</v>
      </c>
      <c r="G139" s="104" t="n">
        <v>44396</v>
      </c>
      <c r="H139" s="104" t="n">
        <v>19819</v>
      </c>
      <c r="I139" s="104" t="n">
        <v>24577</v>
      </c>
      <c r="J139" s="105" t="n">
        <v>1305.77</v>
      </c>
      <c r="K139" s="105" t="n">
        <v>1303.86</v>
      </c>
      <c r="L139" s="192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中美晶(5483)</t>
        </is>
      </c>
      <c r="E140" s="104" t="n">
        <v>1794</v>
      </c>
      <c r="F140" s="104" t="n">
        <v>301</v>
      </c>
      <c r="G140" s="104" t="n">
        <v>33676</v>
      </c>
      <c r="H140" s="104" t="n">
        <v>5685</v>
      </c>
      <c r="I140" s="104" t="n">
        <v>27991</v>
      </c>
      <c r="J140" s="105" t="n">
        <v>187.71</v>
      </c>
      <c r="K140" s="105" t="n">
        <v>188.86</v>
      </c>
      <c r="L140" s="191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台積電(2330)</t>
        </is>
      </c>
      <c r="E141" s="104" t="n">
        <v>139</v>
      </c>
      <c r="F141" s="104" t="n">
        <v>50</v>
      </c>
      <c r="G141" s="104" t="n">
        <v>33344</v>
      </c>
      <c r="H141" s="104" t="n">
        <v>12033</v>
      </c>
      <c r="I141" s="104" t="n">
        <v>21311</v>
      </c>
      <c r="J141" s="105" t="n">
        <v>2398.88</v>
      </c>
      <c r="K141" s="105" t="n">
        <v>2406.58</v>
      </c>
      <c r="L141" s="191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國巨*(2327)</t>
        </is>
      </c>
      <c r="E142" s="104" t="n">
        <v>493</v>
      </c>
      <c r="F142" s="104" t="n">
        <v>263</v>
      </c>
      <c r="G142" s="104" t="n">
        <v>30656</v>
      </c>
      <c r="H142" s="104" t="n">
        <v>16359</v>
      </c>
      <c r="I142" s="104" t="n">
        <v>14297</v>
      </c>
      <c r="J142" s="105" t="n">
        <v>621.83</v>
      </c>
      <c r="K142" s="105" t="n">
        <v>622.01</v>
      </c>
      <c r="L142" s="191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奇鋐(3017)</t>
        </is>
      </c>
      <c r="E143" s="104" t="n">
        <v>88</v>
      </c>
      <c r="F143" s="104" t="n">
        <v>41</v>
      </c>
      <c r="G143" s="104" t="n">
        <v>28543</v>
      </c>
      <c r="H143" s="104" t="n">
        <v>13355</v>
      </c>
      <c r="I143" s="104" t="n">
        <v>15188</v>
      </c>
      <c r="J143" s="105" t="n">
        <v>3243.55</v>
      </c>
      <c r="K143" s="105" t="n">
        <v>3257.27</v>
      </c>
      <c r="L143" s="191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大立光(3008)</t>
        </is>
      </c>
      <c r="E144" s="104" t="n">
        <v>57</v>
      </c>
      <c r="F144" s="104" t="n">
        <v>19</v>
      </c>
      <c r="G144" s="104" t="n">
        <v>26296</v>
      </c>
      <c r="H144" s="104" t="n">
        <v>8619</v>
      </c>
      <c r="I144" s="104" t="n">
        <v>17677</v>
      </c>
      <c r="J144" s="105" t="n">
        <v>4613.28</v>
      </c>
      <c r="K144" s="105" t="n">
        <v>4536.16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771</v>
      </c>
      <c r="F146" s="111" t="n">
        <v>13</v>
      </c>
      <c r="G146" s="111" t="n">
        <v>186531</v>
      </c>
      <c r="H146" s="111" t="n">
        <v>3120</v>
      </c>
      <c r="I146" s="111" t="n">
        <v>183411</v>
      </c>
      <c r="J146" s="112" t="n">
        <v>2419.34</v>
      </c>
      <c r="K146" s="112" t="n">
        <v>2400.23</v>
      </c>
      <c r="L146" s="192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高力(8996)</t>
        </is>
      </c>
      <c r="E147" s="111" t="n">
        <v>1055</v>
      </c>
      <c r="F147" s="111" t="n">
        <v>4</v>
      </c>
      <c r="G147" s="111" t="n">
        <v>136680</v>
      </c>
      <c r="H147" s="111" t="n">
        <v>514</v>
      </c>
      <c r="I147" s="111" t="n">
        <v>136166</v>
      </c>
      <c r="J147" s="112" t="n">
        <v>1295.55</v>
      </c>
      <c r="K147" s="112" t="n">
        <v>1285.75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環球晶(6488)</t>
        </is>
      </c>
      <c r="E148" s="111" t="n">
        <v>452</v>
      </c>
      <c r="F148" s="111" t="n">
        <v>27</v>
      </c>
      <c r="G148" s="111" t="n">
        <v>45986</v>
      </c>
      <c r="H148" s="111" t="n">
        <v>2764</v>
      </c>
      <c r="I148" s="111" t="n">
        <v>43222</v>
      </c>
      <c r="J148" s="112" t="n">
        <v>1017.4</v>
      </c>
      <c r="K148" s="112" t="n">
        <v>1023.78</v>
      </c>
      <c r="L148" s="191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國巨*(2327)</t>
        </is>
      </c>
      <c r="E149" s="111" t="n">
        <v>733</v>
      </c>
      <c r="F149" s="111" t="n">
        <v>691</v>
      </c>
      <c r="G149" s="111" t="n">
        <v>45598</v>
      </c>
      <c r="H149" s="111" t="n">
        <v>42953</v>
      </c>
      <c r="I149" s="111" t="n">
        <v>2645</v>
      </c>
      <c r="J149" s="112" t="n">
        <v>622.0700000000001</v>
      </c>
      <c r="K149" s="112" t="n">
        <v>621.61</v>
      </c>
      <c r="L149" s="192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奇鋐(3017)</t>
        </is>
      </c>
      <c r="E150" s="111" t="n">
        <v>137</v>
      </c>
      <c r="F150" s="111" t="n">
        <v>41</v>
      </c>
      <c r="G150" s="111" t="n">
        <v>44407</v>
      </c>
      <c r="H150" s="111" t="n">
        <v>13243</v>
      </c>
      <c r="I150" s="111" t="n">
        <v>31164</v>
      </c>
      <c r="J150" s="112" t="n">
        <v>3241.39</v>
      </c>
      <c r="K150" s="112" t="n">
        <v>3229.9</v>
      </c>
      <c r="L150" s="192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華碩(2357)</t>
        </is>
      </c>
      <c r="E151" s="111" t="n">
        <v>368</v>
      </c>
      <c r="F151" s="111" t="n">
        <v>111</v>
      </c>
      <c r="G151" s="111" t="n">
        <v>37292</v>
      </c>
      <c r="H151" s="111" t="n">
        <v>11107</v>
      </c>
      <c r="I151" s="111" t="n">
        <v>26185</v>
      </c>
      <c r="J151" s="112" t="n">
        <v>1013.38</v>
      </c>
      <c r="K151" s="112" t="n">
        <v>1000.64</v>
      </c>
      <c r="L151" s="192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健策(3653)</t>
        </is>
      </c>
      <c r="E152" s="111" t="n">
        <v>76</v>
      </c>
      <c r="F152" s="111" t="n">
        <v>21</v>
      </c>
      <c r="G152" s="111" t="n">
        <v>37109</v>
      </c>
      <c r="H152" s="111" t="n">
        <v>10407</v>
      </c>
      <c r="I152" s="111" t="n">
        <v>26702</v>
      </c>
      <c r="J152" s="112" t="n">
        <v>4882.82</v>
      </c>
      <c r="K152" s="112" t="n">
        <v>4955.9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南亞(1303)</t>
        </is>
      </c>
      <c r="E153" s="111" t="n">
        <v>1629</v>
      </c>
      <c r="F153" s="111" t="n">
        <v>225</v>
      </c>
      <c r="G153" s="111" t="n">
        <v>32240</v>
      </c>
      <c r="H153" s="111" t="n">
        <v>4489</v>
      </c>
      <c r="I153" s="111" t="n">
        <v>27751</v>
      </c>
      <c r="J153" s="112" t="n">
        <v>197.92</v>
      </c>
      <c r="K153" s="112" t="n">
        <v>199.51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台達電(2308)</t>
        </is>
      </c>
      <c r="E154" s="111" t="n">
        <v>163</v>
      </c>
      <c r="F154" s="111" t="n">
        <v>37</v>
      </c>
      <c r="G154" s="111" t="n">
        <v>30818</v>
      </c>
      <c r="H154" s="111" t="n">
        <v>6999</v>
      </c>
      <c r="I154" s="111" t="n">
        <v>23819</v>
      </c>
      <c r="J154" s="112" t="n">
        <v>1890.67</v>
      </c>
      <c r="K154" s="112" t="n">
        <v>1891.54</v>
      </c>
      <c r="L154" s="191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萬潤(6187)</t>
        </is>
      </c>
      <c r="E155" s="111" t="n">
        <v>196</v>
      </c>
      <c r="F155" s="111" t="n">
        <v>13</v>
      </c>
      <c r="G155" s="111" t="n">
        <v>24784</v>
      </c>
      <c r="H155" s="111" t="n">
        <v>1598</v>
      </c>
      <c r="I155" s="111" t="n">
        <v>23186</v>
      </c>
      <c r="J155" s="112" t="n">
        <v>1264.47</v>
      </c>
      <c r="K155" s="112" t="n">
        <v>1229.23</v>
      </c>
      <c r="L155" s="192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252</v>
      </c>
      <c r="F157" s="111" t="n">
        <v>79</v>
      </c>
      <c r="G157" s="111" t="n">
        <v>60746</v>
      </c>
      <c r="H157" s="111" t="n">
        <v>18948</v>
      </c>
      <c r="I157" s="111" t="n">
        <v>41798</v>
      </c>
      <c r="J157" s="112" t="n">
        <v>2410.55</v>
      </c>
      <c r="K157" s="112" t="n">
        <v>2398.47</v>
      </c>
      <c r="L157" s="192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聯發科(2454)</t>
        </is>
      </c>
      <c r="E158" s="111" t="n">
        <v>71</v>
      </c>
      <c r="F158" s="111" t="n">
        <v>11</v>
      </c>
      <c r="G158" s="111" t="n">
        <v>29955</v>
      </c>
      <c r="H158" s="111" t="n">
        <v>4472</v>
      </c>
      <c r="I158" s="111" t="n">
        <v>25483</v>
      </c>
      <c r="J158" s="112" t="n">
        <v>4218.96</v>
      </c>
      <c r="K158" s="112" t="n">
        <v>4065.55</v>
      </c>
      <c r="L158" s="192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嘉澤(3533)</t>
        </is>
      </c>
      <c r="E159" s="111" t="n">
        <v>144</v>
      </c>
      <c r="F159" s="111" t="n">
        <v>49</v>
      </c>
      <c r="G159" s="111" t="n">
        <v>24757</v>
      </c>
      <c r="H159" s="111" t="n">
        <v>8432</v>
      </c>
      <c r="I159" s="111" t="n">
        <v>16325</v>
      </c>
      <c r="J159" s="112" t="n">
        <v>1719.23</v>
      </c>
      <c r="K159" s="112" t="n">
        <v>1720.92</v>
      </c>
      <c r="L159" s="191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南電(8046)</t>
        </is>
      </c>
      <c r="E160" s="111" t="n">
        <v>190</v>
      </c>
      <c r="F160" s="111" t="n">
        <v>62</v>
      </c>
      <c r="G160" s="111" t="n">
        <v>24296</v>
      </c>
      <c r="H160" s="111" t="n">
        <v>8062</v>
      </c>
      <c r="I160" s="111" t="n">
        <v>16234</v>
      </c>
      <c r="J160" s="112" t="n">
        <v>1278.73</v>
      </c>
      <c r="K160" s="112" t="n">
        <v>1300.34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健策(3653)</t>
        </is>
      </c>
      <c r="E161" s="111" t="n">
        <v>43</v>
      </c>
      <c r="F161" s="111" t="n">
        <v>6</v>
      </c>
      <c r="G161" s="111" t="n">
        <v>20790</v>
      </c>
      <c r="H161" s="111" t="n">
        <v>2885</v>
      </c>
      <c r="I161" s="111" t="n">
        <v>17905</v>
      </c>
      <c r="J161" s="112" t="n">
        <v>4834.91</v>
      </c>
      <c r="K161" s="112" t="n">
        <v>4807.83</v>
      </c>
      <c r="L161" s="192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國巨*(2327)</t>
        </is>
      </c>
      <c r="E162" s="111" t="n">
        <v>236</v>
      </c>
      <c r="F162" s="111" t="n">
        <v>144</v>
      </c>
      <c r="G162" s="111" t="n">
        <v>14668</v>
      </c>
      <c r="H162" s="111" t="n">
        <v>8949</v>
      </c>
      <c r="I162" s="111" t="n">
        <v>5719</v>
      </c>
      <c r="J162" s="112" t="n">
        <v>621.54</v>
      </c>
      <c r="K162" s="112" t="n">
        <v>621.4400000000001</v>
      </c>
      <c r="L162" s="192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緯創(3231)</t>
        </is>
      </c>
      <c r="E163" s="111" t="n">
        <v>541</v>
      </c>
      <c r="F163" s="111" t="n">
        <v>225</v>
      </c>
      <c r="G163" s="111" t="n">
        <v>10915</v>
      </c>
      <c r="H163" s="111" t="n">
        <v>4457</v>
      </c>
      <c r="I163" s="111" t="n">
        <v>6458</v>
      </c>
      <c r="J163" s="112" t="n">
        <v>201.75</v>
      </c>
      <c r="K163" s="112" t="n">
        <v>198.09</v>
      </c>
      <c r="L163" s="192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奇鋐(3017)</t>
        </is>
      </c>
      <c r="E164" s="111" t="n">
        <v>30</v>
      </c>
      <c r="F164" s="111" t="n">
        <v>25</v>
      </c>
      <c r="G164" s="111" t="n">
        <v>9563</v>
      </c>
      <c r="H164" s="111" t="n">
        <v>8032</v>
      </c>
      <c r="I164" s="111" t="n">
        <v>1531</v>
      </c>
      <c r="J164" s="112" t="n">
        <v>3187.73</v>
      </c>
      <c r="K164" s="112" t="n">
        <v>3212.76</v>
      </c>
      <c r="L164" s="191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華新科(2492)</t>
        </is>
      </c>
      <c r="E165" s="111" t="n">
        <v>269</v>
      </c>
      <c r="F165" s="111" t="n">
        <v>127</v>
      </c>
      <c r="G165" s="111" t="n">
        <v>8298</v>
      </c>
      <c r="H165" s="111" t="n">
        <v>3904</v>
      </c>
      <c r="I165" s="111" t="n">
        <v>4394</v>
      </c>
      <c r="J165" s="112" t="n">
        <v>308.46</v>
      </c>
      <c r="K165" s="112" t="n">
        <v>307.39</v>
      </c>
      <c r="L165" s="192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金像電(2368)</t>
        </is>
      </c>
      <c r="E166" s="111" t="n">
        <v>70</v>
      </c>
      <c r="F166" s="111" t="n">
        <v>46</v>
      </c>
      <c r="G166" s="111" t="n">
        <v>7153</v>
      </c>
      <c r="H166" s="111" t="n">
        <v>4643</v>
      </c>
      <c r="I166" s="111" t="n">
        <v>2510</v>
      </c>
      <c r="J166" s="112" t="n">
        <v>1021.9</v>
      </c>
      <c r="K166" s="112" t="n">
        <v>1009.39</v>
      </c>
      <c r="L166" s="192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仁寶(2324)</t>
        </is>
      </c>
      <c r="E168" s="111" t="n">
        <v>22340</v>
      </c>
      <c r="F168" s="111" t="n">
        <v>21575</v>
      </c>
      <c r="G168" s="111" t="n">
        <v>96492</v>
      </c>
      <c r="H168" s="111" t="n">
        <v>93139</v>
      </c>
      <c r="I168" s="111" t="n">
        <v>3353</v>
      </c>
      <c r="J168" s="112" t="n">
        <v>43.19</v>
      </c>
      <c r="K168" s="112" t="n">
        <v>43.17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漢翔(2634)</t>
        </is>
      </c>
      <c r="E169" s="111" t="n">
        <v>5180</v>
      </c>
      <c r="F169" s="111" t="n">
        <v>64</v>
      </c>
      <c r="G169" s="111" t="n">
        <v>36562</v>
      </c>
      <c r="H169" s="111" t="n">
        <v>442</v>
      </c>
      <c r="I169" s="111" t="n">
        <v>36120</v>
      </c>
      <c r="J169" s="112" t="n">
        <v>70.58</v>
      </c>
      <c r="K169" s="112" t="n">
        <v>69.09</v>
      </c>
      <c r="L169" s="192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南電(8046)</t>
        </is>
      </c>
      <c r="E170" s="111" t="n">
        <v>263</v>
      </c>
      <c r="F170" s="111" t="n">
        <v>217</v>
      </c>
      <c r="G170" s="111" t="n">
        <v>34919</v>
      </c>
      <c r="H170" s="111" t="n">
        <v>28245</v>
      </c>
      <c r="I170" s="111" t="n">
        <v>6674</v>
      </c>
      <c r="J170" s="112" t="n">
        <v>1327.73</v>
      </c>
      <c r="K170" s="112" t="n">
        <v>1301.61</v>
      </c>
      <c r="L170" s="192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聯發科(2454)</t>
        </is>
      </c>
      <c r="E171" s="111" t="n">
        <v>78</v>
      </c>
      <c r="F171" s="111" t="n">
        <v>77</v>
      </c>
      <c r="G171" s="111" t="n">
        <v>32722</v>
      </c>
      <c r="H171" s="111" t="n">
        <v>32423</v>
      </c>
      <c r="I171" s="111" t="n">
        <v>299</v>
      </c>
      <c r="J171" s="112" t="n">
        <v>4195.12</v>
      </c>
      <c r="K171" s="112" t="n">
        <v>4210.77</v>
      </c>
      <c r="L171" s="191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精測(6510)</t>
        </is>
      </c>
      <c r="E172" s="111" t="n">
        <v>93</v>
      </c>
      <c r="F172" s="111" t="n">
        <v>0</v>
      </c>
      <c r="G172" s="111" t="n">
        <v>27639</v>
      </c>
      <c r="H172" s="111" t="n">
        <v>0</v>
      </c>
      <c r="I172" s="111" t="n">
        <v>27639</v>
      </c>
      <c r="J172" s="112" t="n">
        <v>2971.94</v>
      </c>
      <c r="K172" s="112" t="n">
        <v>0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力積電(6770)</t>
        </is>
      </c>
      <c r="E173" s="111" t="n">
        <v>1258</v>
      </c>
      <c r="F173" s="111" t="n">
        <v>188</v>
      </c>
      <c r="G173" s="111" t="n">
        <v>10006</v>
      </c>
      <c r="H173" s="111" t="n">
        <v>1484</v>
      </c>
      <c r="I173" s="111" t="n">
        <v>8522</v>
      </c>
      <c r="J173" s="112" t="n">
        <v>79.54000000000001</v>
      </c>
      <c r="K173" s="112" t="n">
        <v>78.91</v>
      </c>
      <c r="L173" s="192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創意(3443)</t>
        </is>
      </c>
      <c r="E174" s="111" t="n">
        <v>12</v>
      </c>
      <c r="F174" s="111" t="n">
        <v>3</v>
      </c>
      <c r="G174" s="111" t="n">
        <v>6782</v>
      </c>
      <c r="H174" s="111" t="n">
        <v>1763</v>
      </c>
      <c r="I174" s="111" t="n">
        <v>5019</v>
      </c>
      <c r="J174" s="112" t="n">
        <v>5651.33</v>
      </c>
      <c r="K174" s="112" t="n">
        <v>5878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營邦(3693)</t>
        </is>
      </c>
      <c r="E175" s="111" t="n">
        <v>100</v>
      </c>
      <c r="F175" s="111" t="n">
        <v>0</v>
      </c>
      <c r="G175" s="111" t="n">
        <v>5581</v>
      </c>
      <c r="H175" s="111" t="n">
        <v>0</v>
      </c>
      <c r="I175" s="111" t="n">
        <v>5581</v>
      </c>
      <c r="J175" s="112" t="n">
        <v>558.14</v>
      </c>
      <c r="K175" s="112" t="n">
        <v>0</v>
      </c>
      <c r="L175" s="191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台勝科(3532)</t>
        </is>
      </c>
      <c r="E176" s="111" t="n">
        <v>120</v>
      </c>
      <c r="F176" s="111" t="n">
        <v>100</v>
      </c>
      <c r="G176" s="111" t="n">
        <v>4200</v>
      </c>
      <c r="H176" s="111" t="n">
        <v>3468</v>
      </c>
      <c r="I176" s="111" t="n">
        <v>732</v>
      </c>
      <c r="J176" s="112" t="n">
        <v>350.01</v>
      </c>
      <c r="K176" s="112" t="n">
        <v>346.83</v>
      </c>
      <c r="L176" s="192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宜鼎(5289)</t>
        </is>
      </c>
      <c r="E177" s="111" t="n">
        <v>22</v>
      </c>
      <c r="F177" s="111" t="n">
        <v>0</v>
      </c>
      <c r="G177" s="111" t="n">
        <v>3337</v>
      </c>
      <c r="H177" s="111" t="n">
        <v>0</v>
      </c>
      <c r="I177" s="111" t="n">
        <v>3337</v>
      </c>
      <c r="J177" s="112" t="n">
        <v>1516.82</v>
      </c>
      <c r="K177" s="112" t="n">
        <v>0</v>
      </c>
      <c r="L177" s="191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524</v>
      </c>
      <c r="F179" s="111" t="n">
        <v>440</v>
      </c>
      <c r="G179" s="111" t="n">
        <v>33534</v>
      </c>
      <c r="H179" s="111" t="n">
        <v>29277</v>
      </c>
      <c r="I179" s="111" t="n">
        <v>4257</v>
      </c>
      <c r="J179" s="112" t="n">
        <v>639.96</v>
      </c>
      <c r="K179" s="112" t="n">
        <v>665.38</v>
      </c>
      <c r="L179" s="191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華邦電(2344)</t>
        </is>
      </c>
      <c r="E180" s="111" t="n">
        <v>621</v>
      </c>
      <c r="F180" s="111" t="n">
        <v>309</v>
      </c>
      <c r="G180" s="111" t="n">
        <v>11349</v>
      </c>
      <c r="H180" s="111" t="n">
        <v>5733</v>
      </c>
      <c r="I180" s="111" t="n">
        <v>5616</v>
      </c>
      <c r="J180" s="112" t="n">
        <v>182.76</v>
      </c>
      <c r="K180" s="112" t="n">
        <v>185.55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群聯(8299)</t>
        </is>
      </c>
      <c r="E181" s="111" t="n">
        <v>38</v>
      </c>
      <c r="F181" s="111" t="n">
        <v>33</v>
      </c>
      <c r="G181" s="111" t="n">
        <v>7969</v>
      </c>
      <c r="H181" s="111" t="n">
        <v>6770</v>
      </c>
      <c r="I181" s="111" t="n">
        <v>1199</v>
      </c>
      <c r="J181" s="112" t="n">
        <v>2097.18</v>
      </c>
      <c r="K181" s="112" t="n">
        <v>2051.64</v>
      </c>
      <c r="L181" s="192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南亞(1303)</t>
        </is>
      </c>
      <c r="E182" s="111" t="n">
        <v>363</v>
      </c>
      <c r="F182" s="111" t="n">
        <v>162</v>
      </c>
      <c r="G182" s="111" t="n">
        <v>7071</v>
      </c>
      <c r="H182" s="111" t="n">
        <v>3268</v>
      </c>
      <c r="I182" s="111" t="n">
        <v>3803</v>
      </c>
      <c r="J182" s="112" t="n">
        <v>194.8</v>
      </c>
      <c r="K182" s="112" t="n">
        <v>201.73</v>
      </c>
      <c r="L182" s="191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亞泰金屬(6727)</t>
        </is>
      </c>
      <c r="E183" s="111" t="n">
        <v>142</v>
      </c>
      <c r="F183" s="111" t="n">
        <v>3</v>
      </c>
      <c r="G183" s="111" t="n">
        <v>6101</v>
      </c>
      <c r="H183" s="111" t="n">
        <v>109</v>
      </c>
      <c r="I183" s="111" t="n">
        <v>5992</v>
      </c>
      <c r="J183" s="112" t="n">
        <v>429.62</v>
      </c>
      <c r="K183" s="112" t="n">
        <v>364.67</v>
      </c>
      <c r="L183" s="192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台積電(2330)</t>
        </is>
      </c>
      <c r="E184" s="111" t="n">
        <v>19</v>
      </c>
      <c r="F184" s="111" t="n">
        <v>14</v>
      </c>
      <c r="G184" s="111" t="n">
        <v>4590</v>
      </c>
      <c r="H184" s="111" t="n">
        <v>3323</v>
      </c>
      <c r="I184" s="111" t="n">
        <v>1267</v>
      </c>
      <c r="J184" s="112" t="n">
        <v>2415.84</v>
      </c>
      <c r="K184" s="112" t="n">
        <v>2373.71</v>
      </c>
      <c r="L184" s="192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金居(8358)</t>
        </is>
      </c>
      <c r="E185" s="111" t="n">
        <v>61</v>
      </c>
      <c r="F185" s="111" t="n">
        <v>48</v>
      </c>
      <c r="G185" s="111" t="n">
        <v>2618</v>
      </c>
      <c r="H185" s="111" t="n">
        <v>2047</v>
      </c>
      <c r="I185" s="111" t="n">
        <v>571</v>
      </c>
      <c r="J185" s="112" t="n">
        <v>429.23</v>
      </c>
      <c r="K185" s="112" t="n">
        <v>426.52</v>
      </c>
      <c r="L185" s="192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華新科(2492)</t>
        </is>
      </c>
      <c r="E186" s="111" t="n">
        <v>73</v>
      </c>
      <c r="F186" s="111" t="n">
        <v>37</v>
      </c>
      <c r="G186" s="111" t="n">
        <v>2208</v>
      </c>
      <c r="H186" s="111" t="n">
        <v>1110</v>
      </c>
      <c r="I186" s="111" t="n">
        <v>1098</v>
      </c>
      <c r="J186" s="112" t="n">
        <v>302.52</v>
      </c>
      <c r="K186" s="112" t="n">
        <v>299.97</v>
      </c>
      <c r="L186" s="192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聯電(2303)</t>
        </is>
      </c>
      <c r="E187" s="111" t="n">
        <v>164</v>
      </c>
      <c r="F187" s="111" t="n">
        <v>52</v>
      </c>
      <c r="G187" s="111" t="n">
        <v>2008</v>
      </c>
      <c r="H187" s="111" t="n">
        <v>641</v>
      </c>
      <c r="I187" s="111" t="n">
        <v>1367</v>
      </c>
      <c r="J187" s="112" t="n">
        <v>122.43</v>
      </c>
      <c r="K187" s="112" t="n">
        <v>123.27</v>
      </c>
      <c r="L187" s="191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環球晶(6488)</t>
        </is>
      </c>
      <c r="E188" s="111" t="n">
        <v>17</v>
      </c>
      <c r="F188" s="111" t="n">
        <v>10</v>
      </c>
      <c r="G188" s="111" t="n">
        <v>1720</v>
      </c>
      <c r="H188" s="111" t="n">
        <v>1019</v>
      </c>
      <c r="I188" s="111" t="n">
        <v>701</v>
      </c>
      <c r="J188" s="112" t="n">
        <v>1011.94</v>
      </c>
      <c r="K188" s="112" t="n">
        <v>1018.8</v>
      </c>
      <c r="L188" s="191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43</v>
      </c>
      <c r="F190" s="111" t="n">
        <v>1</v>
      </c>
      <c r="G190" s="111" t="n">
        <v>20884</v>
      </c>
      <c r="H190" s="111" t="n">
        <v>483</v>
      </c>
      <c r="I190" s="111" t="n">
        <v>20401</v>
      </c>
      <c r="J190" s="112" t="n">
        <v>4856.77</v>
      </c>
      <c r="K190" s="112" t="n">
        <v>4829</v>
      </c>
      <c r="L190" s="192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群聯(8299)</t>
        </is>
      </c>
      <c r="E191" s="111" t="n">
        <v>53</v>
      </c>
      <c r="F191" s="111" t="n">
        <v>7</v>
      </c>
      <c r="G191" s="111" t="n">
        <v>12092</v>
      </c>
      <c r="H191" s="111" t="n">
        <v>1634</v>
      </c>
      <c r="I191" s="111" t="n">
        <v>10458</v>
      </c>
      <c r="J191" s="112" t="n">
        <v>2281.43</v>
      </c>
      <c r="K191" s="112" t="n">
        <v>2334.86</v>
      </c>
      <c r="L191" s="191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台虹(8039)</t>
        </is>
      </c>
      <c r="E192" s="111" t="n">
        <v>346</v>
      </c>
      <c r="F192" s="111" t="n">
        <v>293</v>
      </c>
      <c r="G192" s="111" t="n">
        <v>8872</v>
      </c>
      <c r="H192" s="111" t="n">
        <v>7940</v>
      </c>
      <c r="I192" s="111" t="n">
        <v>932</v>
      </c>
      <c r="J192" s="112" t="n">
        <v>256.41</v>
      </c>
      <c r="K192" s="112" t="n">
        <v>270.99</v>
      </c>
      <c r="L192" s="191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華邦電(2344)</t>
        </is>
      </c>
      <c r="E193" s="111" t="n">
        <v>284</v>
      </c>
      <c r="F193" s="111" t="n">
        <v>195</v>
      </c>
      <c r="G193" s="111" t="n">
        <v>5262</v>
      </c>
      <c r="H193" s="111" t="n">
        <v>3612</v>
      </c>
      <c r="I193" s="111" t="n">
        <v>1650</v>
      </c>
      <c r="J193" s="112" t="n">
        <v>185.27</v>
      </c>
      <c r="K193" s="112" t="n">
        <v>185.21</v>
      </c>
      <c r="L193" s="192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創意(3443)</t>
        </is>
      </c>
      <c r="E194" s="111" t="n">
        <v>8</v>
      </c>
      <c r="F194" s="111" t="n">
        <v>1</v>
      </c>
      <c r="G194" s="111" t="n">
        <v>4549</v>
      </c>
      <c r="H194" s="111" t="n">
        <v>39</v>
      </c>
      <c r="I194" s="111" t="n">
        <v>4510</v>
      </c>
      <c r="J194" s="112" t="n">
        <v>5685.88</v>
      </c>
      <c r="K194" s="112" t="n">
        <v>394</v>
      </c>
      <c r="L194" s="192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南電(8046)</t>
        </is>
      </c>
      <c r="E195" s="111" t="n">
        <v>33</v>
      </c>
      <c r="F195" s="111" t="n">
        <v>10</v>
      </c>
      <c r="G195" s="111" t="n">
        <v>4329</v>
      </c>
      <c r="H195" s="111" t="n">
        <v>1273</v>
      </c>
      <c r="I195" s="111" t="n">
        <v>3056</v>
      </c>
      <c r="J195" s="112" t="n">
        <v>1311.82</v>
      </c>
      <c r="K195" s="112" t="n">
        <v>1272.9</v>
      </c>
      <c r="L195" s="192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台燿(6274)</t>
        </is>
      </c>
      <c r="E196" s="111" t="n">
        <v>22</v>
      </c>
      <c r="F196" s="111" t="n">
        <v>1</v>
      </c>
      <c r="G196" s="111" t="n">
        <v>3712</v>
      </c>
      <c r="H196" s="111" t="n">
        <v>69</v>
      </c>
      <c r="I196" s="111" t="n">
        <v>3643</v>
      </c>
      <c r="J196" s="112" t="n">
        <v>1687.09</v>
      </c>
      <c r="K196" s="112" t="n">
        <v>687</v>
      </c>
      <c r="L196" s="192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合晶(6182)</t>
        </is>
      </c>
      <c r="E197" s="111" t="n">
        <v>293</v>
      </c>
      <c r="F197" s="111" t="n">
        <v>61</v>
      </c>
      <c r="G197" s="111" t="n">
        <v>3369</v>
      </c>
      <c r="H197" s="111" t="n">
        <v>696</v>
      </c>
      <c r="I197" s="111" t="n">
        <v>2673</v>
      </c>
      <c r="J197" s="112" t="n">
        <v>114.98</v>
      </c>
      <c r="K197" s="112" t="n">
        <v>114.1</v>
      </c>
      <c r="L197" s="192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元太(8069)</t>
        </is>
      </c>
      <c r="E198" s="111" t="n">
        <v>167</v>
      </c>
      <c r="F198" s="111" t="n">
        <v>32</v>
      </c>
      <c r="G198" s="111" t="n">
        <v>2678</v>
      </c>
      <c r="H198" s="111" t="n">
        <v>538</v>
      </c>
      <c r="I198" s="111" t="n">
        <v>2140</v>
      </c>
      <c r="J198" s="112" t="n">
        <v>160.34</v>
      </c>
      <c r="K198" s="112" t="n">
        <v>168.06</v>
      </c>
      <c r="L198" s="191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宏致(3605)</t>
        </is>
      </c>
      <c r="E199" s="111" t="n">
        <v>170</v>
      </c>
      <c r="F199" s="111" t="n">
        <v>18</v>
      </c>
      <c r="G199" s="111" t="n">
        <v>2246</v>
      </c>
      <c r="H199" s="111" t="n">
        <v>245</v>
      </c>
      <c r="I199" s="111" t="n">
        <v>2001</v>
      </c>
      <c r="J199" s="112" t="n">
        <v>132.13</v>
      </c>
      <c r="K199" s="112" t="n">
        <v>136.11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台達電(2308)</t>
        </is>
      </c>
      <c r="E201" s="118" t="n">
        <v>102</v>
      </c>
      <c r="F201" s="118" t="n">
        <v>3</v>
      </c>
      <c r="G201" s="118" t="n">
        <v>19322</v>
      </c>
      <c r="H201" s="118" t="n">
        <v>546</v>
      </c>
      <c r="I201" s="118" t="n">
        <v>18776</v>
      </c>
      <c r="J201" s="119" t="n">
        <v>1894.27</v>
      </c>
      <c r="K201" s="119" t="n">
        <v>1819.67</v>
      </c>
      <c r="L201" s="192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聯發科(2454)</t>
        </is>
      </c>
      <c r="E202" s="118" t="n">
        <v>42</v>
      </c>
      <c r="F202" s="118" t="n">
        <v>2</v>
      </c>
      <c r="G202" s="118" t="n">
        <v>18041</v>
      </c>
      <c r="H202" s="118" t="n">
        <v>1036</v>
      </c>
      <c r="I202" s="118" t="n">
        <v>17005</v>
      </c>
      <c r="J202" s="119" t="n">
        <v>4295.4</v>
      </c>
      <c r="K202" s="119" t="n">
        <v>5180.5</v>
      </c>
      <c r="L202" s="191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南亞(1303)</t>
        </is>
      </c>
      <c r="E203" s="118" t="n">
        <v>690</v>
      </c>
      <c r="F203" s="118" t="n">
        <v>53</v>
      </c>
      <c r="G203" s="118" t="n">
        <v>13817</v>
      </c>
      <c r="H203" s="118" t="n">
        <v>1073</v>
      </c>
      <c r="I203" s="118" t="n">
        <v>12744</v>
      </c>
      <c r="J203" s="119" t="n">
        <v>200.25</v>
      </c>
      <c r="K203" s="119" t="n">
        <v>202.49</v>
      </c>
      <c r="L203" s="191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光寶科(2301)</t>
        </is>
      </c>
      <c r="E204" s="118" t="n">
        <v>204</v>
      </c>
      <c r="F204" s="118" t="n">
        <v>6</v>
      </c>
      <c r="G204" s="118" t="n">
        <v>5462</v>
      </c>
      <c r="H204" s="118" t="n">
        <v>161</v>
      </c>
      <c r="I204" s="118" t="n">
        <v>5301</v>
      </c>
      <c r="J204" s="119" t="n">
        <v>267.73</v>
      </c>
      <c r="K204" s="119" t="n">
        <v>268</v>
      </c>
      <c r="L204" s="191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國巨*(2327)</t>
        </is>
      </c>
      <c r="E205" s="118" t="n">
        <v>53</v>
      </c>
      <c r="F205" s="118" t="n">
        <v>35</v>
      </c>
      <c r="G205" s="118" t="n">
        <v>3357</v>
      </c>
      <c r="H205" s="118" t="n">
        <v>2178</v>
      </c>
      <c r="I205" s="118" t="n">
        <v>1179</v>
      </c>
      <c r="J205" s="119" t="n">
        <v>633.3200000000001</v>
      </c>
      <c r="K205" s="119" t="n">
        <v>622.37</v>
      </c>
      <c r="L205" s="192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南亞科(2408)</t>
        </is>
      </c>
      <c r="E206" s="118" t="n">
        <v>42</v>
      </c>
      <c r="F206" s="118" t="n">
        <v>38</v>
      </c>
      <c r="G206" s="118" t="n">
        <v>2175</v>
      </c>
      <c r="H206" s="118" t="n">
        <v>1937</v>
      </c>
      <c r="I206" s="118" t="n">
        <v>238</v>
      </c>
      <c r="J206" s="119" t="n">
        <v>517.95</v>
      </c>
      <c r="K206" s="119" t="n">
        <v>509.71</v>
      </c>
      <c r="L206" s="192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金居(8358)</t>
        </is>
      </c>
      <c r="E207" s="118" t="n">
        <v>42</v>
      </c>
      <c r="F207" s="118" t="n">
        <v>22</v>
      </c>
      <c r="G207" s="118" t="n">
        <v>1852</v>
      </c>
      <c r="H207" s="118" t="n">
        <v>982</v>
      </c>
      <c r="I207" s="118" t="n">
        <v>870</v>
      </c>
      <c r="J207" s="119" t="n">
        <v>440.86</v>
      </c>
      <c r="K207" s="119" t="n">
        <v>446.23</v>
      </c>
      <c r="L207" s="191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臻鼎-KY(4958)</t>
        </is>
      </c>
      <c r="E208" s="118" t="n">
        <v>36</v>
      </c>
      <c r="F208" s="118" t="n">
        <v>24</v>
      </c>
      <c r="G208" s="118" t="n">
        <v>1771</v>
      </c>
      <c r="H208" s="118" t="n">
        <v>1197</v>
      </c>
      <c r="I208" s="118" t="n">
        <v>574</v>
      </c>
      <c r="J208" s="119" t="n">
        <v>491.97</v>
      </c>
      <c r="K208" s="119" t="n">
        <v>498.71</v>
      </c>
      <c r="L208" s="191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晶豪科(3006)</t>
        </is>
      </c>
      <c r="E209" s="118" t="n">
        <v>29</v>
      </c>
      <c r="F209" s="118" t="n">
        <v>11</v>
      </c>
      <c r="G209" s="118" t="n">
        <v>814</v>
      </c>
      <c r="H209" s="118" t="n">
        <v>291</v>
      </c>
      <c r="I209" s="118" t="n">
        <v>523</v>
      </c>
      <c r="J209" s="119" t="n">
        <v>280.52</v>
      </c>
      <c r="K209" s="119" t="n">
        <v>264.45</v>
      </c>
      <c r="L209" s="192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環球晶(6488)</t>
        </is>
      </c>
      <c r="E210" s="118" t="n">
        <v>7</v>
      </c>
      <c r="F210" s="118" t="n">
        <v>3</v>
      </c>
      <c r="G210" s="118" t="n">
        <v>726</v>
      </c>
      <c r="H210" s="118" t="n">
        <v>308</v>
      </c>
      <c r="I210" s="118" t="n">
        <v>418</v>
      </c>
      <c r="J210" s="119" t="n">
        <v>1036.71</v>
      </c>
      <c r="K210" s="119" t="n">
        <v>1027</v>
      </c>
      <c r="L210" s="192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70</v>
      </c>
      <c r="F212" s="118" t="n">
        <v>4</v>
      </c>
      <c r="G212" s="118" t="n">
        <v>17019</v>
      </c>
      <c r="H212" s="118" t="n">
        <v>917</v>
      </c>
      <c r="I212" s="118" t="n">
        <v>16102</v>
      </c>
      <c r="J212" s="119" t="n">
        <v>2431.26</v>
      </c>
      <c r="K212" s="119" t="n">
        <v>2292.5</v>
      </c>
      <c r="L212" s="192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日月光投控(3711)</t>
        </is>
      </c>
      <c r="E213" s="118" t="n">
        <v>221</v>
      </c>
      <c r="F213" s="118" t="n">
        <v>2</v>
      </c>
      <c r="G213" s="118" t="n">
        <v>13672</v>
      </c>
      <c r="H213" s="118" t="n">
        <v>107</v>
      </c>
      <c r="I213" s="118" t="n">
        <v>13565</v>
      </c>
      <c r="J213" s="119" t="n">
        <v>618.64</v>
      </c>
      <c r="K213" s="119" t="n">
        <v>535.5</v>
      </c>
      <c r="L213" s="192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鴻海(2317)</t>
        </is>
      </c>
      <c r="E214" s="118" t="n">
        <v>505</v>
      </c>
      <c r="F214" s="118" t="n">
        <v>352</v>
      </c>
      <c r="G214" s="118" t="n">
        <v>13114</v>
      </c>
      <c r="H214" s="118" t="n">
        <v>9267</v>
      </c>
      <c r="I214" s="118" t="n">
        <v>3847</v>
      </c>
      <c r="J214" s="119" t="n">
        <v>259.69</v>
      </c>
      <c r="K214" s="119" t="n">
        <v>263.28</v>
      </c>
      <c r="L214" s="191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南亞(1303)</t>
        </is>
      </c>
      <c r="E215" s="118" t="n">
        <v>606</v>
      </c>
      <c r="F215" s="118" t="n">
        <v>58</v>
      </c>
      <c r="G215" s="118" t="n">
        <v>12433</v>
      </c>
      <c r="H215" s="118" t="n">
        <v>1166</v>
      </c>
      <c r="I215" s="118" t="n">
        <v>11267</v>
      </c>
      <c r="J215" s="119" t="n">
        <v>205.16</v>
      </c>
      <c r="K215" s="119" t="n">
        <v>201.1</v>
      </c>
      <c r="L215" s="192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國巨*(2327)</t>
        </is>
      </c>
      <c r="E216" s="118" t="n">
        <v>91</v>
      </c>
      <c r="F216" s="118" t="n">
        <v>16</v>
      </c>
      <c r="G216" s="118" t="n">
        <v>5746</v>
      </c>
      <c r="H216" s="118" t="n">
        <v>1021</v>
      </c>
      <c r="I216" s="118" t="n">
        <v>4725</v>
      </c>
      <c r="J216" s="119" t="n">
        <v>631.4</v>
      </c>
      <c r="K216" s="119" t="n">
        <v>638.38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華新科(2492)</t>
        </is>
      </c>
      <c r="E217" s="118" t="n">
        <v>129</v>
      </c>
      <c r="F217" s="118" t="n">
        <v>22</v>
      </c>
      <c r="G217" s="118" t="n">
        <v>4024</v>
      </c>
      <c r="H217" s="118" t="n">
        <v>687</v>
      </c>
      <c r="I217" s="118" t="n">
        <v>3337</v>
      </c>
      <c r="J217" s="119" t="n">
        <v>311.95</v>
      </c>
      <c r="K217" s="119" t="n">
        <v>312.36</v>
      </c>
      <c r="L217" s="191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台燿(6274)</t>
        </is>
      </c>
      <c r="E218" s="118" t="n">
        <v>10</v>
      </c>
      <c r="F218" s="118" t="n">
        <v>1</v>
      </c>
      <c r="G218" s="118" t="n">
        <v>1699</v>
      </c>
      <c r="H218" s="118" t="n">
        <v>189</v>
      </c>
      <c r="I218" s="118" t="n">
        <v>1510</v>
      </c>
      <c r="J218" s="119" t="n">
        <v>1699</v>
      </c>
      <c r="K218" s="119" t="n">
        <v>1893</v>
      </c>
      <c r="L218" s="191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玉晶光(3406)</t>
        </is>
      </c>
      <c r="E219" s="118" t="n">
        <v>28</v>
      </c>
      <c r="F219" s="118" t="n">
        <v>0</v>
      </c>
      <c r="G219" s="118" t="n">
        <v>1696</v>
      </c>
      <c r="H219" s="118" t="n">
        <v>0</v>
      </c>
      <c r="I219" s="118" t="n">
        <v>1696</v>
      </c>
      <c r="J219" s="119" t="n">
        <v>605.71</v>
      </c>
      <c r="K219" s="119" t="n">
        <v>0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精材(3374)</t>
        </is>
      </c>
      <c r="E220" s="118" t="n">
        <v>46</v>
      </c>
      <c r="F220" s="118" t="n">
        <v>11</v>
      </c>
      <c r="G220" s="118" t="n">
        <v>1496</v>
      </c>
      <c r="H220" s="118" t="n">
        <v>363</v>
      </c>
      <c r="I220" s="118" t="n">
        <v>1133</v>
      </c>
      <c r="J220" s="119" t="n">
        <v>325.3</v>
      </c>
      <c r="K220" s="119" t="n">
        <v>330.18</v>
      </c>
      <c r="L220" s="191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鉅祥(2476)</t>
        </is>
      </c>
      <c r="E221" s="118" t="n">
        <v>116</v>
      </c>
      <c r="F221" s="118" t="n">
        <v>0</v>
      </c>
      <c r="G221" s="118" t="n">
        <v>1399</v>
      </c>
      <c r="H221" s="118" t="n">
        <v>0</v>
      </c>
      <c r="I221" s="118" t="n">
        <v>1399</v>
      </c>
      <c r="J221" s="119" t="n">
        <v>120.62</v>
      </c>
      <c r="K221" s="119" t="n">
        <v>0</v>
      </c>
      <c r="L221" s="191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台達電(2308)</t>
        </is>
      </c>
      <c r="E223" s="118" t="n">
        <v>42</v>
      </c>
      <c r="F223" s="118" t="n">
        <v>25</v>
      </c>
      <c r="G223" s="118" t="n">
        <v>8089</v>
      </c>
      <c r="H223" s="118" t="n">
        <v>4768</v>
      </c>
      <c r="I223" s="118" t="n">
        <v>3321</v>
      </c>
      <c r="J223" s="119" t="n">
        <v>1926.02</v>
      </c>
      <c r="K223" s="119" t="n">
        <v>1907.12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金居(8358)</t>
        </is>
      </c>
      <c r="E224" s="118" t="n">
        <v>86</v>
      </c>
      <c r="F224" s="118" t="n">
        <v>39</v>
      </c>
      <c r="G224" s="118" t="n">
        <v>3827</v>
      </c>
      <c r="H224" s="118" t="n">
        <v>1677</v>
      </c>
      <c r="I224" s="118" t="n">
        <v>2150</v>
      </c>
      <c r="J224" s="119" t="n">
        <v>445.05</v>
      </c>
      <c r="K224" s="119" t="n">
        <v>430.03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南亞(1303)</t>
        </is>
      </c>
      <c r="E225" s="118" t="n">
        <v>172</v>
      </c>
      <c r="F225" s="118" t="n">
        <v>88</v>
      </c>
      <c r="G225" s="118" t="n">
        <v>3404</v>
      </c>
      <c r="H225" s="118" t="n">
        <v>1788</v>
      </c>
      <c r="I225" s="118" t="n">
        <v>1616</v>
      </c>
      <c r="J225" s="119" t="n">
        <v>197.88</v>
      </c>
      <c r="K225" s="119" t="n">
        <v>203.22</v>
      </c>
      <c r="L225" s="191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南電(8046)</t>
        </is>
      </c>
      <c r="E226" s="118" t="n">
        <v>25</v>
      </c>
      <c r="F226" s="118" t="n">
        <v>5</v>
      </c>
      <c r="G226" s="118" t="n">
        <v>3265</v>
      </c>
      <c r="H226" s="118" t="n">
        <v>674</v>
      </c>
      <c r="I226" s="118" t="n">
        <v>2591</v>
      </c>
      <c r="J226" s="119" t="n">
        <v>1305.96</v>
      </c>
      <c r="K226" s="119" t="n">
        <v>1347.4</v>
      </c>
      <c r="L226" s="191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光寶科(2301)</t>
        </is>
      </c>
      <c r="E227" s="118" t="n">
        <v>108</v>
      </c>
      <c r="F227" s="118" t="n">
        <v>1</v>
      </c>
      <c r="G227" s="118" t="n">
        <v>2884</v>
      </c>
      <c r="H227" s="118" t="n">
        <v>27</v>
      </c>
      <c r="I227" s="118" t="n">
        <v>2857</v>
      </c>
      <c r="J227" s="119" t="n">
        <v>267.07</v>
      </c>
      <c r="K227" s="119" t="n">
        <v>272</v>
      </c>
      <c r="L227" s="191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欣興(3037)</t>
        </is>
      </c>
      <c r="E228" s="118" t="n">
        <v>27</v>
      </c>
      <c r="F228" s="118" t="n">
        <v>11</v>
      </c>
      <c r="G228" s="118" t="n">
        <v>2708</v>
      </c>
      <c r="H228" s="118" t="n">
        <v>1155</v>
      </c>
      <c r="I228" s="118" t="n">
        <v>1553</v>
      </c>
      <c r="J228" s="119" t="n">
        <v>1002.96</v>
      </c>
      <c r="K228" s="119" t="n">
        <v>1050.18</v>
      </c>
      <c r="L228" s="191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南亞科(2408)</t>
        </is>
      </c>
      <c r="E229" s="118" t="n">
        <v>43</v>
      </c>
      <c r="F229" s="118" t="n">
        <v>31</v>
      </c>
      <c r="G229" s="118" t="n">
        <v>2226</v>
      </c>
      <c r="H229" s="118" t="n">
        <v>1569</v>
      </c>
      <c r="I229" s="118" t="n">
        <v>657</v>
      </c>
      <c r="J229" s="119" t="n">
        <v>517.67</v>
      </c>
      <c r="K229" s="119" t="n">
        <v>506.16</v>
      </c>
      <c r="L229" s="192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景碩(3189)</t>
        </is>
      </c>
      <c r="E230" s="118" t="n">
        <v>26</v>
      </c>
      <c r="F230" s="118" t="n">
        <v>1</v>
      </c>
      <c r="G230" s="118" t="n">
        <v>2210</v>
      </c>
      <c r="H230" s="118" t="n">
        <v>4</v>
      </c>
      <c r="I230" s="118" t="n">
        <v>2206</v>
      </c>
      <c r="J230" s="119" t="n">
        <v>850.1900000000001</v>
      </c>
      <c r="K230" s="119" t="n">
        <v>43</v>
      </c>
      <c r="L230" s="192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台塑(1301)</t>
        </is>
      </c>
      <c r="E231" s="118" t="n">
        <v>354</v>
      </c>
      <c r="F231" s="118" t="n">
        <v>14</v>
      </c>
      <c r="G231" s="118" t="n">
        <v>2124</v>
      </c>
      <c r="H231" s="118" t="n">
        <v>84</v>
      </c>
      <c r="I231" s="118" t="n">
        <v>2040</v>
      </c>
      <c r="J231" s="119" t="n">
        <v>59.99</v>
      </c>
      <c r="K231" s="119" t="n">
        <v>60.36</v>
      </c>
      <c r="L231" s="191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緯穎(6669)</t>
        </is>
      </c>
      <c r="E232" s="118" t="n">
        <v>3</v>
      </c>
      <c r="F232" s="118" t="n">
        <v>2</v>
      </c>
      <c r="G232" s="118" t="n">
        <v>1691</v>
      </c>
      <c r="H232" s="118" t="n">
        <v>1418</v>
      </c>
      <c r="I232" s="118" t="n">
        <v>273</v>
      </c>
      <c r="J232" s="119" t="n">
        <v>5635.33</v>
      </c>
      <c r="K232" s="119" t="n">
        <v>7091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長榮(2603)</t>
        </is>
      </c>
      <c r="E234" s="118" t="n">
        <v>451</v>
      </c>
      <c r="F234" s="118" t="n">
        <v>13</v>
      </c>
      <c r="G234" s="118" t="n">
        <v>9794</v>
      </c>
      <c r="H234" s="118" t="n">
        <v>278</v>
      </c>
      <c r="I234" s="118" t="n">
        <v>9516</v>
      </c>
      <c r="J234" s="119" t="n">
        <v>217.17</v>
      </c>
      <c r="K234" s="119" t="n">
        <v>214</v>
      </c>
      <c r="L234" s="192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川湖(2059)</t>
        </is>
      </c>
      <c r="E235" s="118" t="n">
        <v>5</v>
      </c>
      <c r="F235" s="118" t="n">
        <v>0</v>
      </c>
      <c r="G235" s="118" t="n">
        <v>6138</v>
      </c>
      <c r="H235" s="118" t="n">
        <v>0</v>
      </c>
      <c r="I235" s="118" t="n">
        <v>6138</v>
      </c>
      <c r="J235" s="119" t="n">
        <v>12276.6</v>
      </c>
      <c r="K235" s="119" t="n">
        <v>0</v>
      </c>
      <c r="L235" s="191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力積電(6770)</t>
        </is>
      </c>
      <c r="E236" s="118" t="n">
        <v>343</v>
      </c>
      <c r="F236" s="118" t="n">
        <v>240</v>
      </c>
      <c r="G236" s="118" t="n">
        <v>2722</v>
      </c>
      <c r="H236" s="118" t="n">
        <v>1900</v>
      </c>
      <c r="I236" s="118" t="n">
        <v>822</v>
      </c>
      <c r="J236" s="119" t="n">
        <v>79.36</v>
      </c>
      <c r="K236" s="119" t="n">
        <v>79.15000000000001</v>
      </c>
      <c r="L236" s="192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奇鋐(3017)</t>
        </is>
      </c>
      <c r="E237" s="118" t="n">
        <v>7</v>
      </c>
      <c r="F237" s="118" t="n">
        <v>1</v>
      </c>
      <c r="G237" s="118" t="n">
        <v>2125</v>
      </c>
      <c r="H237" s="118" t="n">
        <v>429</v>
      </c>
      <c r="I237" s="118" t="n">
        <v>1696</v>
      </c>
      <c r="J237" s="119" t="n">
        <v>3036.14</v>
      </c>
      <c r="K237" s="119" t="n">
        <v>4289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臻鼎-KY(4958)</t>
        </is>
      </c>
      <c r="E238" s="118" t="n">
        <v>36</v>
      </c>
      <c r="F238" s="118" t="n">
        <v>17</v>
      </c>
      <c r="G238" s="118" t="n">
        <v>1800</v>
      </c>
      <c r="H238" s="118" t="n">
        <v>868</v>
      </c>
      <c r="I238" s="118" t="n">
        <v>932</v>
      </c>
      <c r="J238" s="119" t="n">
        <v>499.89</v>
      </c>
      <c r="K238" s="119" t="n">
        <v>510.53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所羅門(2359)</t>
        </is>
      </c>
      <c r="E239" s="118" t="n">
        <v>111</v>
      </c>
      <c r="F239" s="118" t="n">
        <v>42</v>
      </c>
      <c r="G239" s="118" t="n">
        <v>1754</v>
      </c>
      <c r="H239" s="118" t="n">
        <v>671</v>
      </c>
      <c r="I239" s="118" t="n">
        <v>1083</v>
      </c>
      <c r="J239" s="119" t="n">
        <v>158.05</v>
      </c>
      <c r="K239" s="119" t="n">
        <v>159.83</v>
      </c>
      <c r="L239" s="191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聯亞(3081)</t>
        </is>
      </c>
      <c r="E240" s="118" t="n">
        <v>6</v>
      </c>
      <c r="F240" s="118" t="n">
        <v>1</v>
      </c>
      <c r="G240" s="118" t="n">
        <v>1552</v>
      </c>
      <c r="H240" s="118" t="n">
        <v>8</v>
      </c>
      <c r="I240" s="118" t="n">
        <v>1544</v>
      </c>
      <c r="J240" s="119" t="n">
        <v>2587</v>
      </c>
      <c r="K240" s="119" t="n">
        <v>79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南亞(1303)</t>
        </is>
      </c>
      <c r="E241" s="118" t="n">
        <v>72</v>
      </c>
      <c r="F241" s="118" t="n">
        <v>30</v>
      </c>
      <c r="G241" s="118" t="n">
        <v>1406</v>
      </c>
      <c r="H241" s="118" t="n">
        <v>597</v>
      </c>
      <c r="I241" s="118" t="n">
        <v>809</v>
      </c>
      <c r="J241" s="119" t="n">
        <v>195.24</v>
      </c>
      <c r="K241" s="119" t="n">
        <v>198.87</v>
      </c>
      <c r="L241" s="191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良維(6290)</t>
        </is>
      </c>
      <c r="E242" s="118" t="n">
        <v>60</v>
      </c>
      <c r="F242" s="118" t="n">
        <v>0</v>
      </c>
      <c r="G242" s="118" t="n">
        <v>1316</v>
      </c>
      <c r="H242" s="118" t="n">
        <v>0</v>
      </c>
      <c r="I242" s="118" t="n">
        <v>1316</v>
      </c>
      <c r="J242" s="119" t="n">
        <v>219.42</v>
      </c>
      <c r="K242" s="119" t="n">
        <v>0</v>
      </c>
      <c r="L242" s="191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金居(8358)</t>
        </is>
      </c>
      <c r="E243" s="118" t="n">
        <v>26</v>
      </c>
      <c r="F243" s="118" t="n">
        <v>22</v>
      </c>
      <c r="G243" s="118" t="n">
        <v>1134</v>
      </c>
      <c r="H243" s="118" t="n">
        <v>922</v>
      </c>
      <c r="I243" s="118" t="n">
        <v>212</v>
      </c>
      <c r="J243" s="119" t="n">
        <v>436.15</v>
      </c>
      <c r="K243" s="119" t="n">
        <v>418.95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147</v>
      </c>
      <c r="F245" s="125" t="n">
        <v>51</v>
      </c>
      <c r="G245" s="125" t="n">
        <v>7554</v>
      </c>
      <c r="H245" s="125" t="n">
        <v>2602</v>
      </c>
      <c r="I245" s="125" t="n">
        <v>4952</v>
      </c>
      <c r="J245" s="126" t="n">
        <v>513.86</v>
      </c>
      <c r="K245" s="126" t="n">
        <v>510.1</v>
      </c>
      <c r="L245" s="192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台積電(2330)</t>
        </is>
      </c>
      <c r="E246" s="125" t="n">
        <v>29</v>
      </c>
      <c r="F246" s="125" t="n">
        <v>3</v>
      </c>
      <c r="G246" s="125" t="n">
        <v>7050</v>
      </c>
      <c r="H246" s="125" t="n">
        <v>659</v>
      </c>
      <c r="I246" s="125" t="n">
        <v>6391</v>
      </c>
      <c r="J246" s="126" t="n">
        <v>2431.14</v>
      </c>
      <c r="K246" s="126" t="n">
        <v>2197.67</v>
      </c>
      <c r="L246" s="192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國巨*(2327)</t>
        </is>
      </c>
      <c r="E247" s="125" t="n">
        <v>61</v>
      </c>
      <c r="F247" s="125" t="n">
        <v>38</v>
      </c>
      <c r="G247" s="125" t="n">
        <v>3913</v>
      </c>
      <c r="H247" s="125" t="n">
        <v>2368</v>
      </c>
      <c r="I247" s="125" t="n">
        <v>1545</v>
      </c>
      <c r="J247" s="126" t="n">
        <v>641.48</v>
      </c>
      <c r="K247" s="126" t="n">
        <v>623.08</v>
      </c>
      <c r="L247" s="192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群聯(8299)</t>
        </is>
      </c>
      <c r="E248" s="125" t="n">
        <v>15</v>
      </c>
      <c r="F248" s="125" t="n">
        <v>11</v>
      </c>
      <c r="G248" s="125" t="n">
        <v>3060</v>
      </c>
      <c r="H248" s="125" t="n">
        <v>2330</v>
      </c>
      <c r="I248" s="125" t="n">
        <v>730</v>
      </c>
      <c r="J248" s="126" t="n">
        <v>2039.87</v>
      </c>
      <c r="K248" s="126" t="n">
        <v>2118.64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力成(6239)</t>
        </is>
      </c>
      <c r="E249" s="125" t="n">
        <v>102</v>
      </c>
      <c r="F249" s="125" t="n">
        <v>94</v>
      </c>
      <c r="G249" s="125" t="n">
        <v>2826</v>
      </c>
      <c r="H249" s="125" t="n">
        <v>2610</v>
      </c>
      <c r="I249" s="125" t="n">
        <v>216</v>
      </c>
      <c r="J249" s="126" t="n">
        <v>277.08</v>
      </c>
      <c r="K249" s="126" t="n">
        <v>277.68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穩懋(3105)</t>
        </is>
      </c>
      <c r="E250" s="125" t="n">
        <v>42</v>
      </c>
      <c r="F250" s="125" t="n">
        <v>3</v>
      </c>
      <c r="G250" s="125" t="n">
        <v>1600</v>
      </c>
      <c r="H250" s="125" t="n">
        <v>125</v>
      </c>
      <c r="I250" s="125" t="n">
        <v>1475</v>
      </c>
      <c r="J250" s="126" t="n">
        <v>380.86</v>
      </c>
      <c r="K250" s="126" t="n">
        <v>415.67</v>
      </c>
      <c r="L250" s="191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嘉澤(3533)</t>
        </is>
      </c>
      <c r="E251" s="125" t="n">
        <v>7</v>
      </c>
      <c r="F251" s="125" t="n">
        <v>1</v>
      </c>
      <c r="G251" s="125" t="n">
        <v>1163</v>
      </c>
      <c r="H251" s="125" t="n">
        <v>0</v>
      </c>
      <c r="I251" s="125" t="n">
        <v>1163</v>
      </c>
      <c r="J251" s="126" t="n">
        <v>1660.86</v>
      </c>
      <c r="K251" s="126" t="n">
        <v>3</v>
      </c>
      <c r="L251" s="192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合晶(6182)</t>
        </is>
      </c>
      <c r="E252" s="125" t="n">
        <v>101</v>
      </c>
      <c r="F252" s="125" t="n">
        <v>85</v>
      </c>
      <c r="G252" s="125" t="n">
        <v>1125</v>
      </c>
      <c r="H252" s="125" t="n">
        <v>949</v>
      </c>
      <c r="I252" s="125" t="n">
        <v>176</v>
      </c>
      <c r="J252" s="126" t="n">
        <v>111.4</v>
      </c>
      <c r="K252" s="126" t="n">
        <v>111.66</v>
      </c>
      <c r="L252" s="191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臺慶科(3357)</t>
        </is>
      </c>
      <c r="E253" s="125" t="n">
        <v>47</v>
      </c>
      <c r="F253" s="125" t="n">
        <v>7</v>
      </c>
      <c r="G253" s="125" t="n">
        <v>1108</v>
      </c>
      <c r="H253" s="125" t="n">
        <v>163</v>
      </c>
      <c r="I253" s="125" t="n">
        <v>945</v>
      </c>
      <c r="J253" s="126" t="n">
        <v>235.74</v>
      </c>
      <c r="K253" s="126" t="n">
        <v>233</v>
      </c>
      <c r="L253" s="192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聯電(2303)</t>
        </is>
      </c>
      <c r="E254" s="125" t="n">
        <v>63</v>
      </c>
      <c r="F254" s="125" t="n">
        <v>27</v>
      </c>
      <c r="G254" s="125" t="n">
        <v>768</v>
      </c>
      <c r="H254" s="125" t="n">
        <v>333</v>
      </c>
      <c r="I254" s="125" t="n">
        <v>435</v>
      </c>
      <c r="J254" s="126" t="n">
        <v>121.97</v>
      </c>
      <c r="K254" s="126" t="n">
        <v>123.37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南電(8046)</t>
        </is>
      </c>
      <c r="E256" s="125" t="n">
        <v>2532</v>
      </c>
      <c r="F256" s="125" t="n">
        <v>23</v>
      </c>
      <c r="G256" s="125" t="n">
        <v>329181</v>
      </c>
      <c r="H256" s="125" t="n">
        <v>2914</v>
      </c>
      <c r="I256" s="125" t="n">
        <v>326267</v>
      </c>
      <c r="J256" s="126" t="n">
        <v>1300.08</v>
      </c>
      <c r="K256" s="126" t="n">
        <v>1266.91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緯創(3231)</t>
        </is>
      </c>
      <c r="E257" s="125" t="n">
        <v>5109</v>
      </c>
      <c r="F257" s="125" t="n">
        <v>287</v>
      </c>
      <c r="G257" s="125" t="n">
        <v>102933</v>
      </c>
      <c r="H257" s="125" t="n">
        <v>5847</v>
      </c>
      <c r="I257" s="125" t="n">
        <v>97086</v>
      </c>
      <c r="J257" s="126" t="n">
        <v>201.47</v>
      </c>
      <c r="K257" s="126" t="n">
        <v>203.72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緯穎(6669)</t>
        </is>
      </c>
      <c r="E258" s="125" t="n">
        <v>139</v>
      </c>
      <c r="F258" s="125" t="n">
        <v>47</v>
      </c>
      <c r="G258" s="125" t="n">
        <v>89148</v>
      </c>
      <c r="H258" s="125" t="n">
        <v>29975</v>
      </c>
      <c r="I258" s="125" t="n">
        <v>59173</v>
      </c>
      <c r="J258" s="126" t="n">
        <v>6413.53</v>
      </c>
      <c r="K258" s="126" t="n">
        <v>6377.74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玉山金(2884)</t>
        </is>
      </c>
      <c r="E259" s="125" t="n">
        <v>18011</v>
      </c>
      <c r="F259" s="125" t="n">
        <v>0</v>
      </c>
      <c r="G259" s="125" t="n">
        <v>68378</v>
      </c>
      <c r="H259" s="125" t="n">
        <v>0</v>
      </c>
      <c r="I259" s="125" t="n">
        <v>68378</v>
      </c>
      <c r="J259" s="126" t="n">
        <v>37.96</v>
      </c>
      <c r="K259" s="126" t="n">
        <v>0</v>
      </c>
      <c r="L259" s="191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凱基金(2883)</t>
        </is>
      </c>
      <c r="E260" s="125" t="n">
        <v>20001</v>
      </c>
      <c r="F260" s="125" t="n">
        <v>0</v>
      </c>
      <c r="G260" s="125" t="n">
        <v>63339</v>
      </c>
      <c r="H260" s="125" t="n">
        <v>0</v>
      </c>
      <c r="I260" s="125" t="n">
        <v>63339</v>
      </c>
      <c r="J260" s="126" t="n">
        <v>31.67</v>
      </c>
      <c r="K260" s="126" t="n">
        <v>0</v>
      </c>
      <c r="L260" s="191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元大金(2885)</t>
        </is>
      </c>
      <c r="E261" s="125" t="n">
        <v>6996</v>
      </c>
      <c r="F261" s="125" t="n">
        <v>0</v>
      </c>
      <c r="G261" s="125" t="n">
        <v>48941</v>
      </c>
      <c r="H261" s="125" t="n">
        <v>0</v>
      </c>
      <c r="I261" s="125" t="n">
        <v>48941</v>
      </c>
      <c r="J261" s="126" t="n">
        <v>69.95999999999999</v>
      </c>
      <c r="K261" s="126" t="n">
        <v>0</v>
      </c>
      <c r="L261" s="191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華南金(2880)</t>
        </is>
      </c>
      <c r="E262" s="125" t="n">
        <v>12042</v>
      </c>
      <c r="F262" s="125" t="n">
        <v>0</v>
      </c>
      <c r="G262" s="125" t="n">
        <v>46800</v>
      </c>
      <c r="H262" s="125" t="n">
        <v>0</v>
      </c>
      <c r="I262" s="125" t="n">
        <v>46800</v>
      </c>
      <c r="J262" s="126" t="n">
        <v>38.86</v>
      </c>
      <c r="K262" s="126" t="n">
        <v>0</v>
      </c>
      <c r="L262" s="191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華邦電(2344)</t>
        </is>
      </c>
      <c r="E263" s="125" t="n">
        <v>2540</v>
      </c>
      <c r="F263" s="125" t="n">
        <v>154</v>
      </c>
      <c r="G263" s="125" t="n">
        <v>46613</v>
      </c>
      <c r="H263" s="125" t="n">
        <v>2843</v>
      </c>
      <c r="I263" s="125" t="n">
        <v>43770</v>
      </c>
      <c r="J263" s="126" t="n">
        <v>183.51</v>
      </c>
      <c r="K263" s="126" t="n">
        <v>184.63</v>
      </c>
      <c r="L263" s="191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大立光(3008)</t>
        </is>
      </c>
      <c r="E264" s="125" t="n">
        <v>86</v>
      </c>
      <c r="F264" s="125" t="n">
        <v>72</v>
      </c>
      <c r="G264" s="125" t="n">
        <v>39707</v>
      </c>
      <c r="H264" s="125" t="n">
        <v>32968</v>
      </c>
      <c r="I264" s="125" t="n">
        <v>6739</v>
      </c>
      <c r="J264" s="126" t="n">
        <v>4617.07</v>
      </c>
      <c r="K264" s="126" t="n">
        <v>4578.96</v>
      </c>
      <c r="L264" s="192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創意(3443)</t>
        </is>
      </c>
      <c r="E265" s="125" t="n">
        <v>36</v>
      </c>
      <c r="F265" s="125" t="n">
        <v>21</v>
      </c>
      <c r="G265" s="125" t="n">
        <v>19409</v>
      </c>
      <c r="H265" s="125" t="n">
        <v>11412</v>
      </c>
      <c r="I265" s="125" t="n">
        <v>7997</v>
      </c>
      <c r="J265" s="126" t="n">
        <v>5391.33</v>
      </c>
      <c r="K265" s="126" t="n">
        <v>5434.52</v>
      </c>
      <c r="L265" s="191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1547</v>
      </c>
      <c r="F267" s="125" t="n">
        <v>423</v>
      </c>
      <c r="G267" s="125" t="n">
        <v>657057</v>
      </c>
      <c r="H267" s="125" t="n">
        <v>181290</v>
      </c>
      <c r="I267" s="125" t="n">
        <v>475767</v>
      </c>
      <c r="J267" s="126" t="n">
        <v>4247.3</v>
      </c>
      <c r="K267" s="126" t="n">
        <v>4285.81</v>
      </c>
      <c r="L267" s="191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南電(8046)</t>
        </is>
      </c>
      <c r="E268" s="125" t="n">
        <v>1337</v>
      </c>
      <c r="F268" s="125" t="n">
        <v>399</v>
      </c>
      <c r="G268" s="125" t="n">
        <v>173532</v>
      </c>
      <c r="H268" s="125" t="n">
        <v>52054</v>
      </c>
      <c r="I268" s="125" t="n">
        <v>121478</v>
      </c>
      <c r="J268" s="126" t="n">
        <v>1297.92</v>
      </c>
      <c r="K268" s="126" t="n">
        <v>1304.62</v>
      </c>
      <c r="L268" s="191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仁寶(2324)</t>
        </is>
      </c>
      <c r="E269" s="125" t="n">
        <v>39038</v>
      </c>
      <c r="F269" s="125" t="n">
        <v>17961</v>
      </c>
      <c r="G269" s="125" t="n">
        <v>168559</v>
      </c>
      <c r="H269" s="125" t="n">
        <v>77424</v>
      </c>
      <c r="I269" s="125" t="n">
        <v>91135</v>
      </c>
      <c r="J269" s="126" t="n">
        <v>43.18</v>
      </c>
      <c r="K269" s="126" t="n">
        <v>43.11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南亞(1303)</t>
        </is>
      </c>
      <c r="E270" s="125" t="n">
        <v>6965</v>
      </c>
      <c r="F270" s="125" t="n">
        <v>6072</v>
      </c>
      <c r="G270" s="125" t="n">
        <v>143446</v>
      </c>
      <c r="H270" s="125" t="n">
        <v>125799</v>
      </c>
      <c r="I270" s="125" t="n">
        <v>17647</v>
      </c>
      <c r="J270" s="126" t="n">
        <v>205.95</v>
      </c>
      <c r="K270" s="126" t="n">
        <v>207.18</v>
      </c>
      <c r="L270" s="191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華邦電(2344)</t>
        </is>
      </c>
      <c r="E271" s="125" t="n">
        <v>5906</v>
      </c>
      <c r="F271" s="125" t="n">
        <v>2183</v>
      </c>
      <c r="G271" s="125" t="n">
        <v>110366</v>
      </c>
      <c r="H271" s="125" t="n">
        <v>40734</v>
      </c>
      <c r="I271" s="125" t="n">
        <v>69632</v>
      </c>
      <c r="J271" s="126" t="n">
        <v>186.87</v>
      </c>
      <c r="K271" s="126" t="n">
        <v>186.6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臻鼎-KY(4958)</t>
        </is>
      </c>
      <c r="E272" s="125" t="n">
        <v>2098</v>
      </c>
      <c r="F272" s="125" t="n">
        <v>921</v>
      </c>
      <c r="G272" s="125" t="n">
        <v>107998</v>
      </c>
      <c r="H272" s="125" t="n">
        <v>46485</v>
      </c>
      <c r="I272" s="125" t="n">
        <v>61513</v>
      </c>
      <c r="J272" s="126" t="n">
        <v>514.77</v>
      </c>
      <c r="K272" s="126" t="n">
        <v>504.73</v>
      </c>
      <c r="L272" s="192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台新新光金(2887)</t>
        </is>
      </c>
      <c r="E273" s="125" t="n">
        <v>28190</v>
      </c>
      <c r="F273" s="125" t="n">
        <v>38</v>
      </c>
      <c r="G273" s="125" t="n">
        <v>106080</v>
      </c>
      <c r="H273" s="125" t="n">
        <v>142</v>
      </c>
      <c r="I273" s="125" t="n">
        <v>105938</v>
      </c>
      <c r="J273" s="126" t="n">
        <v>37.63</v>
      </c>
      <c r="K273" s="126" t="n">
        <v>37.5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台光電(2383)</t>
        </is>
      </c>
      <c r="E274" s="125" t="n">
        <v>134</v>
      </c>
      <c r="F274" s="125" t="n">
        <v>21</v>
      </c>
      <c r="G274" s="125" t="n">
        <v>82402</v>
      </c>
      <c r="H274" s="125" t="n">
        <v>12975</v>
      </c>
      <c r="I274" s="125" t="n">
        <v>69427</v>
      </c>
      <c r="J274" s="126" t="n">
        <v>6149.43</v>
      </c>
      <c r="K274" s="126" t="n">
        <v>6178.57</v>
      </c>
      <c r="L274" s="191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南亞科(2408)</t>
        </is>
      </c>
      <c r="E275" s="125" t="n">
        <v>1440</v>
      </c>
      <c r="F275" s="125" t="n">
        <v>801</v>
      </c>
      <c r="G275" s="125" t="n">
        <v>73748</v>
      </c>
      <c r="H275" s="125" t="n">
        <v>41001</v>
      </c>
      <c r="I275" s="125" t="n">
        <v>32747</v>
      </c>
      <c r="J275" s="126" t="n">
        <v>512.14</v>
      </c>
      <c r="K275" s="126" t="n">
        <v>511.87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致茂(2360)</t>
        </is>
      </c>
      <c r="E276" s="125" t="n">
        <v>278</v>
      </c>
      <c r="F276" s="125" t="n">
        <v>16</v>
      </c>
      <c r="G276" s="125" t="n">
        <v>64013</v>
      </c>
      <c r="H276" s="125" t="n">
        <v>3724</v>
      </c>
      <c r="I276" s="125" t="n">
        <v>60289</v>
      </c>
      <c r="J276" s="126" t="n">
        <v>2302.64</v>
      </c>
      <c r="K276" s="126" t="n">
        <v>2327.19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群聯(8299)</t>
        </is>
      </c>
      <c r="E278" s="132" t="n">
        <v>102</v>
      </c>
      <c r="F278" s="132" t="n">
        <v>43</v>
      </c>
      <c r="G278" s="132" t="n">
        <v>22920</v>
      </c>
      <c r="H278" s="132" t="n">
        <v>9084</v>
      </c>
      <c r="I278" s="132" t="n">
        <v>13836</v>
      </c>
      <c r="J278" s="133" t="n">
        <v>2247.07</v>
      </c>
      <c r="K278" s="133" t="n">
        <v>2112.67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創意(3443)</t>
        </is>
      </c>
      <c r="E279" s="132" t="n">
        <v>16</v>
      </c>
      <c r="F279" s="132" t="n">
        <v>4</v>
      </c>
      <c r="G279" s="132" t="n">
        <v>8731</v>
      </c>
      <c r="H279" s="132" t="n">
        <v>1964</v>
      </c>
      <c r="I279" s="132" t="n">
        <v>6767</v>
      </c>
      <c r="J279" s="133" t="n">
        <v>5456.81</v>
      </c>
      <c r="K279" s="133" t="n">
        <v>4910.5</v>
      </c>
      <c r="L279" s="192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台積電(2330)</t>
        </is>
      </c>
      <c r="E280" s="132" t="n">
        <v>27</v>
      </c>
      <c r="F280" s="132" t="n">
        <v>20</v>
      </c>
      <c r="G280" s="132" t="n">
        <v>6436</v>
      </c>
      <c r="H280" s="132" t="n">
        <v>4814</v>
      </c>
      <c r="I280" s="132" t="n">
        <v>1622</v>
      </c>
      <c r="J280" s="133" t="n">
        <v>2383.7</v>
      </c>
      <c r="K280" s="133" t="n">
        <v>2406.85</v>
      </c>
      <c r="L280" s="191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國巨*(2327)</t>
        </is>
      </c>
      <c r="E281" s="132" t="n">
        <v>80</v>
      </c>
      <c r="F281" s="132" t="n">
        <v>32</v>
      </c>
      <c r="G281" s="132" t="n">
        <v>5056</v>
      </c>
      <c r="H281" s="132" t="n">
        <v>2006</v>
      </c>
      <c r="I281" s="132" t="n">
        <v>3050</v>
      </c>
      <c r="J281" s="133" t="n">
        <v>631.99</v>
      </c>
      <c r="K281" s="133" t="n">
        <v>627</v>
      </c>
      <c r="L281" s="192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臻鼎-KY(4958)</t>
        </is>
      </c>
      <c r="E282" s="132" t="n">
        <v>84</v>
      </c>
      <c r="F282" s="132" t="n">
        <v>57</v>
      </c>
      <c r="G282" s="132" t="n">
        <v>4121</v>
      </c>
      <c r="H282" s="132" t="n">
        <v>2788</v>
      </c>
      <c r="I282" s="132" t="n">
        <v>1333</v>
      </c>
      <c r="J282" s="133" t="n">
        <v>490.63</v>
      </c>
      <c r="K282" s="133" t="n">
        <v>489.04</v>
      </c>
      <c r="L282" s="192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旺宏(2337)</t>
        </is>
      </c>
      <c r="E283" s="132" t="n">
        <v>205</v>
      </c>
      <c r="F283" s="132" t="n">
        <v>179</v>
      </c>
      <c r="G283" s="132" t="n">
        <v>2811</v>
      </c>
      <c r="H283" s="132" t="n">
        <v>2446</v>
      </c>
      <c r="I283" s="132" t="n">
        <v>365</v>
      </c>
      <c r="J283" s="133" t="n">
        <v>137.11</v>
      </c>
      <c r="K283" s="133" t="n">
        <v>136.63</v>
      </c>
      <c r="L283" s="192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緯創(3231)</t>
        </is>
      </c>
      <c r="E284" s="132" t="n">
        <v>134</v>
      </c>
      <c r="F284" s="132" t="n">
        <v>103</v>
      </c>
      <c r="G284" s="132" t="n">
        <v>2667</v>
      </c>
      <c r="H284" s="132" t="n">
        <v>2036</v>
      </c>
      <c r="I284" s="132" t="n">
        <v>631</v>
      </c>
      <c r="J284" s="133" t="n">
        <v>199.02</v>
      </c>
      <c r="K284" s="133" t="n">
        <v>197.68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華新科(2492)</t>
        </is>
      </c>
      <c r="E285" s="132" t="n">
        <v>67</v>
      </c>
      <c r="F285" s="132" t="n">
        <v>42</v>
      </c>
      <c r="G285" s="132" t="n">
        <v>2025</v>
      </c>
      <c r="H285" s="132" t="n">
        <v>1281</v>
      </c>
      <c r="I285" s="132" t="n">
        <v>744</v>
      </c>
      <c r="J285" s="133" t="n">
        <v>302.19</v>
      </c>
      <c r="K285" s="133" t="n">
        <v>305.07</v>
      </c>
      <c r="L285" s="191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嘉澤(3533)</t>
        </is>
      </c>
      <c r="E286" s="132" t="n">
        <v>11</v>
      </c>
      <c r="F286" s="132" t="n">
        <v>1</v>
      </c>
      <c r="G286" s="132" t="n">
        <v>1889</v>
      </c>
      <c r="H286" s="132" t="n">
        <v>9</v>
      </c>
      <c r="I286" s="132" t="n">
        <v>1880</v>
      </c>
      <c r="J286" s="133" t="n">
        <v>1717.64</v>
      </c>
      <c r="K286" s="133" t="n">
        <v>86</v>
      </c>
      <c r="L286" s="192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全新(2455)</t>
        </is>
      </c>
      <c r="E287" s="132" t="n">
        <v>48</v>
      </c>
      <c r="F287" s="132" t="n">
        <v>8</v>
      </c>
      <c r="G287" s="132" t="n">
        <v>1846</v>
      </c>
      <c r="H287" s="132" t="n">
        <v>288</v>
      </c>
      <c r="I287" s="132" t="n">
        <v>1558</v>
      </c>
      <c r="J287" s="133" t="n">
        <v>384.6</v>
      </c>
      <c r="K287" s="133" t="n">
        <v>360.62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196</v>
      </c>
      <c r="F289" s="138" t="n">
        <v>84</v>
      </c>
      <c r="G289" s="138" t="n">
        <v>10172</v>
      </c>
      <c r="H289" s="138" t="n">
        <v>4315</v>
      </c>
      <c r="I289" s="138" t="n">
        <v>5857</v>
      </c>
      <c r="J289" s="139" t="n">
        <v>518.98</v>
      </c>
      <c r="K289" s="139" t="n">
        <v>513.6799999999999</v>
      </c>
      <c r="L289" s="192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創意(3443)</t>
        </is>
      </c>
      <c r="E290" s="138" t="n">
        <v>15</v>
      </c>
      <c r="F290" s="138" t="n">
        <v>1</v>
      </c>
      <c r="G290" s="138" t="n">
        <v>8375</v>
      </c>
      <c r="H290" s="138" t="n">
        <v>3</v>
      </c>
      <c r="I290" s="138" t="n">
        <v>8372</v>
      </c>
      <c r="J290" s="139" t="n">
        <v>5583.07</v>
      </c>
      <c r="K290" s="139" t="n">
        <v>28</v>
      </c>
      <c r="L290" s="192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群聯(8299)</t>
        </is>
      </c>
      <c r="E291" s="138" t="n">
        <v>29</v>
      </c>
      <c r="F291" s="138" t="n">
        <v>18</v>
      </c>
      <c r="G291" s="138" t="n">
        <v>6136</v>
      </c>
      <c r="H291" s="138" t="n">
        <v>3794</v>
      </c>
      <c r="I291" s="138" t="n">
        <v>2342</v>
      </c>
      <c r="J291" s="139" t="n">
        <v>2115.69</v>
      </c>
      <c r="K291" s="139" t="n">
        <v>2107.56</v>
      </c>
      <c r="L291" s="192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旺宏(2337)</t>
        </is>
      </c>
      <c r="E292" s="138" t="n">
        <v>330</v>
      </c>
      <c r="F292" s="138" t="n">
        <v>234</v>
      </c>
      <c r="G292" s="138" t="n">
        <v>4610</v>
      </c>
      <c r="H292" s="138" t="n">
        <v>3330</v>
      </c>
      <c r="I292" s="138" t="n">
        <v>1280</v>
      </c>
      <c r="J292" s="139" t="n">
        <v>139.69</v>
      </c>
      <c r="K292" s="139" t="n">
        <v>142.31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大立光(3008)</t>
        </is>
      </c>
      <c r="E293" s="138" t="n">
        <v>7</v>
      </c>
      <c r="F293" s="138" t="n">
        <v>7</v>
      </c>
      <c r="G293" s="138" t="n">
        <v>3292</v>
      </c>
      <c r="H293" s="138" t="n">
        <v>3119</v>
      </c>
      <c r="I293" s="138" t="n">
        <v>173</v>
      </c>
      <c r="J293" s="139" t="n">
        <v>4703</v>
      </c>
      <c r="K293" s="139" t="n">
        <v>4455.43</v>
      </c>
      <c r="L293" s="192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中美晶(5483)</t>
        </is>
      </c>
      <c r="E294" s="138" t="n">
        <v>162</v>
      </c>
      <c r="F294" s="138" t="n">
        <v>80</v>
      </c>
      <c r="G294" s="138" t="n">
        <v>3049</v>
      </c>
      <c r="H294" s="138" t="n">
        <v>1500</v>
      </c>
      <c r="I294" s="138" t="n">
        <v>1549</v>
      </c>
      <c r="J294" s="139" t="n">
        <v>188.2</v>
      </c>
      <c r="K294" s="139" t="n">
        <v>187.5</v>
      </c>
      <c r="L294" s="192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貿聯-KY(3665)</t>
        </is>
      </c>
      <c r="E295" s="138" t="n">
        <v>12</v>
      </c>
      <c r="F295" s="138" t="n">
        <v>1</v>
      </c>
      <c r="G295" s="138" t="n">
        <v>2657</v>
      </c>
      <c r="H295" s="138" t="n">
        <v>244</v>
      </c>
      <c r="I295" s="138" t="n">
        <v>2413</v>
      </c>
      <c r="J295" s="139" t="n">
        <v>2213.92</v>
      </c>
      <c r="K295" s="139" t="n">
        <v>2436</v>
      </c>
      <c r="L295" s="191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國巨*(2327)</t>
        </is>
      </c>
      <c r="E296" s="138" t="n">
        <v>38</v>
      </c>
      <c r="F296" s="138" t="n">
        <v>17</v>
      </c>
      <c r="G296" s="138" t="n">
        <v>2412</v>
      </c>
      <c r="H296" s="138" t="n">
        <v>1077</v>
      </c>
      <c r="I296" s="138" t="n">
        <v>1335</v>
      </c>
      <c r="J296" s="139" t="n">
        <v>634.66</v>
      </c>
      <c r="K296" s="139" t="n">
        <v>633.53</v>
      </c>
      <c r="L296" s="192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南電(8046)</t>
        </is>
      </c>
      <c r="E297" s="138" t="n">
        <v>16</v>
      </c>
      <c r="F297" s="138" t="n">
        <v>10</v>
      </c>
      <c r="G297" s="138" t="n">
        <v>2051</v>
      </c>
      <c r="H297" s="138" t="n">
        <v>1243</v>
      </c>
      <c r="I297" s="138" t="n">
        <v>808</v>
      </c>
      <c r="J297" s="139" t="n">
        <v>1281.81</v>
      </c>
      <c r="K297" s="139" t="n">
        <v>1243.4</v>
      </c>
      <c r="L297" s="192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聯電(2303)</t>
        </is>
      </c>
      <c r="E298" s="138" t="n">
        <v>142</v>
      </c>
      <c r="F298" s="138" t="n">
        <v>31</v>
      </c>
      <c r="G298" s="138" t="n">
        <v>1743</v>
      </c>
      <c r="H298" s="138" t="n">
        <v>376</v>
      </c>
      <c r="I298" s="138" t="n">
        <v>1367</v>
      </c>
      <c r="J298" s="139" t="n">
        <v>122.74</v>
      </c>
      <c r="K298" s="139" t="n">
        <v>121.42</v>
      </c>
      <c r="L298" s="192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群聯(8299)</t>
        </is>
      </c>
      <c r="E300" s="138" t="n">
        <v>40</v>
      </c>
      <c r="F300" s="138" t="n">
        <v>23</v>
      </c>
      <c r="G300" s="138" t="n">
        <v>8679</v>
      </c>
      <c r="H300" s="138" t="n">
        <v>5294</v>
      </c>
      <c r="I300" s="138" t="n">
        <v>3385</v>
      </c>
      <c r="J300" s="139" t="n">
        <v>2169.7</v>
      </c>
      <c r="K300" s="139" t="n">
        <v>2301.57</v>
      </c>
      <c r="L300" s="191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台積電(2330)</t>
        </is>
      </c>
      <c r="E301" s="138" t="n">
        <v>28</v>
      </c>
      <c r="F301" s="138" t="n">
        <v>26</v>
      </c>
      <c r="G301" s="138" t="n">
        <v>6594</v>
      </c>
      <c r="H301" s="138" t="n">
        <v>6314</v>
      </c>
      <c r="I301" s="138" t="n">
        <v>280</v>
      </c>
      <c r="J301" s="139" t="n">
        <v>2354.89</v>
      </c>
      <c r="K301" s="139" t="n">
        <v>2428.46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金居(8358)</t>
        </is>
      </c>
      <c r="E302" s="138" t="n">
        <v>141</v>
      </c>
      <c r="F302" s="138" t="n">
        <v>127</v>
      </c>
      <c r="G302" s="138" t="n">
        <v>6023</v>
      </c>
      <c r="H302" s="138" t="n">
        <v>5452</v>
      </c>
      <c r="I302" s="138" t="n">
        <v>571</v>
      </c>
      <c r="J302" s="139" t="n">
        <v>427.13</v>
      </c>
      <c r="K302" s="139" t="n">
        <v>429.28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德宏(5475)</t>
        </is>
      </c>
      <c r="E303" s="138" t="n">
        <v>304</v>
      </c>
      <c r="F303" s="138" t="n">
        <v>288</v>
      </c>
      <c r="G303" s="138" t="n">
        <v>5176</v>
      </c>
      <c r="H303" s="138" t="n">
        <v>4911</v>
      </c>
      <c r="I303" s="138" t="n">
        <v>265</v>
      </c>
      <c r="J303" s="139" t="n">
        <v>170.28</v>
      </c>
      <c r="K303" s="139" t="n">
        <v>170.53</v>
      </c>
      <c r="L303" s="191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國巨*(2327)</t>
        </is>
      </c>
      <c r="E304" s="138" t="n">
        <v>54</v>
      </c>
      <c r="F304" s="138" t="n">
        <v>30</v>
      </c>
      <c r="G304" s="138" t="n">
        <v>3477</v>
      </c>
      <c r="H304" s="138" t="n">
        <v>1953</v>
      </c>
      <c r="I304" s="138" t="n">
        <v>1524</v>
      </c>
      <c r="J304" s="139" t="n">
        <v>643.83</v>
      </c>
      <c r="K304" s="139" t="n">
        <v>651.0700000000001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聯發科(2454)</t>
        </is>
      </c>
      <c r="E305" s="138" t="n">
        <v>7</v>
      </c>
      <c r="F305" s="138" t="n">
        <v>4</v>
      </c>
      <c r="G305" s="138" t="n">
        <v>3128</v>
      </c>
      <c r="H305" s="138" t="n">
        <v>1625</v>
      </c>
      <c r="I305" s="138" t="n">
        <v>1503</v>
      </c>
      <c r="J305" s="139" t="n">
        <v>4467.86</v>
      </c>
      <c r="K305" s="139" t="n">
        <v>4063.5</v>
      </c>
      <c r="L305" s="192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友達(2409)</t>
        </is>
      </c>
      <c r="E306" s="138" t="n">
        <v>603</v>
      </c>
      <c r="F306" s="138" t="n">
        <v>514</v>
      </c>
      <c r="G306" s="138" t="n">
        <v>1566</v>
      </c>
      <c r="H306" s="138" t="n">
        <v>1339</v>
      </c>
      <c r="I306" s="138" t="n">
        <v>227</v>
      </c>
      <c r="J306" s="139" t="n">
        <v>25.97</v>
      </c>
      <c r="K306" s="139" t="n">
        <v>26.04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台燿(6274)</t>
        </is>
      </c>
      <c r="E307" s="138" t="n">
        <v>9</v>
      </c>
      <c r="F307" s="138" t="n">
        <v>1</v>
      </c>
      <c r="G307" s="138" t="n">
        <v>1518</v>
      </c>
      <c r="H307" s="138" t="n">
        <v>0</v>
      </c>
      <c r="I307" s="138" t="n">
        <v>1518</v>
      </c>
      <c r="J307" s="139" t="n">
        <v>1686.67</v>
      </c>
      <c r="K307" s="139" t="n">
        <v>2</v>
      </c>
      <c r="L307" s="192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昇陽半導體(8028)</t>
        </is>
      </c>
      <c r="E308" s="138" t="n">
        <v>38</v>
      </c>
      <c r="F308" s="138" t="n">
        <v>0</v>
      </c>
      <c r="G308" s="138" t="n">
        <v>1020</v>
      </c>
      <c r="H308" s="138" t="n">
        <v>0</v>
      </c>
      <c r="I308" s="138" t="n">
        <v>1020</v>
      </c>
      <c r="J308" s="139" t="n">
        <v>268.39</v>
      </c>
      <c r="K308" s="139" t="n">
        <v>0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世芯-KY(3661)</t>
        </is>
      </c>
      <c r="E309" s="138" t="n">
        <v>2</v>
      </c>
      <c r="F309" s="138" t="n">
        <v>1</v>
      </c>
      <c r="G309" s="138" t="n">
        <v>908</v>
      </c>
      <c r="H309" s="138" t="n">
        <v>499</v>
      </c>
      <c r="I309" s="138" t="n">
        <v>409</v>
      </c>
      <c r="J309" s="139" t="n">
        <v>4541</v>
      </c>
      <c r="K309" s="139" t="n">
        <v>4989</v>
      </c>
      <c r="L309" s="191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37</v>
      </c>
      <c r="F311" s="138" t="n">
        <v>35</v>
      </c>
      <c r="G311" s="138" t="n">
        <v>8965</v>
      </c>
      <c r="H311" s="138" t="n">
        <v>8424</v>
      </c>
      <c r="I311" s="138" t="n">
        <v>541</v>
      </c>
      <c r="J311" s="139" t="n">
        <v>2422.86</v>
      </c>
      <c r="K311" s="139" t="n">
        <v>2406.91</v>
      </c>
      <c r="L311" s="192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昇達科(3491)</t>
        </is>
      </c>
      <c r="E312" s="138" t="n">
        <v>40</v>
      </c>
      <c r="F312" s="138" t="n">
        <v>3</v>
      </c>
      <c r="G312" s="138" t="n">
        <v>5746</v>
      </c>
      <c r="H312" s="138" t="n">
        <v>453</v>
      </c>
      <c r="I312" s="138" t="n">
        <v>5293</v>
      </c>
      <c r="J312" s="139" t="n">
        <v>1436.53</v>
      </c>
      <c r="K312" s="139" t="n">
        <v>1508.67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力成(6239)</t>
        </is>
      </c>
      <c r="E313" s="138" t="n">
        <v>158</v>
      </c>
      <c r="F313" s="138" t="n">
        <v>45</v>
      </c>
      <c r="G313" s="138" t="n">
        <v>4427</v>
      </c>
      <c r="H313" s="138" t="n">
        <v>1249</v>
      </c>
      <c r="I313" s="138" t="n">
        <v>3178</v>
      </c>
      <c r="J313" s="139" t="n">
        <v>280.17</v>
      </c>
      <c r="K313" s="139" t="n">
        <v>277.64</v>
      </c>
      <c r="L313" s="192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聯發科(2454)</t>
        </is>
      </c>
      <c r="E314" s="138" t="n">
        <v>8</v>
      </c>
      <c r="F314" s="138" t="n">
        <v>4</v>
      </c>
      <c r="G314" s="138" t="n">
        <v>3183</v>
      </c>
      <c r="H314" s="138" t="n">
        <v>1831</v>
      </c>
      <c r="I314" s="138" t="n">
        <v>1352</v>
      </c>
      <c r="J314" s="139" t="n">
        <v>3978.25</v>
      </c>
      <c r="K314" s="139" t="n">
        <v>4577</v>
      </c>
      <c r="L314" s="191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世芯-KY(3661)</t>
        </is>
      </c>
      <c r="E315" s="138" t="n">
        <v>7</v>
      </c>
      <c r="F315" s="138" t="n">
        <v>5</v>
      </c>
      <c r="G315" s="138" t="n">
        <v>3051</v>
      </c>
      <c r="H315" s="138" t="n">
        <v>2174</v>
      </c>
      <c r="I315" s="138" t="n">
        <v>877</v>
      </c>
      <c r="J315" s="139" t="n">
        <v>4358.14</v>
      </c>
      <c r="K315" s="139" t="n">
        <v>4348.2</v>
      </c>
      <c r="L315" s="192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高力(8996)</t>
        </is>
      </c>
      <c r="E316" s="138" t="n">
        <v>24</v>
      </c>
      <c r="F316" s="138" t="n">
        <v>1</v>
      </c>
      <c r="G316" s="138" t="n">
        <v>3046</v>
      </c>
      <c r="H316" s="138" t="n">
        <v>151</v>
      </c>
      <c r="I316" s="138" t="n">
        <v>2895</v>
      </c>
      <c r="J316" s="139" t="n">
        <v>1269.25</v>
      </c>
      <c r="K316" s="139" t="n">
        <v>1508</v>
      </c>
      <c r="L316" s="191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大立光(3008)</t>
        </is>
      </c>
      <c r="E317" s="138" t="n">
        <v>6</v>
      </c>
      <c r="F317" s="138" t="n">
        <v>3</v>
      </c>
      <c r="G317" s="138" t="n">
        <v>2923</v>
      </c>
      <c r="H317" s="138" t="n">
        <v>1602</v>
      </c>
      <c r="I317" s="138" t="n">
        <v>1321</v>
      </c>
      <c r="J317" s="139" t="n">
        <v>4871.5</v>
      </c>
      <c r="K317" s="139" t="n">
        <v>5341.33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中光電(5371)</t>
        </is>
      </c>
      <c r="E318" s="138" t="n">
        <v>321</v>
      </c>
      <c r="F318" s="138" t="n">
        <v>63</v>
      </c>
      <c r="G318" s="138" t="n">
        <v>2914</v>
      </c>
      <c r="H318" s="138" t="n">
        <v>572</v>
      </c>
      <c r="I318" s="138" t="n">
        <v>2342</v>
      </c>
      <c r="J318" s="139" t="n">
        <v>90.79000000000001</v>
      </c>
      <c r="K318" s="139" t="n">
        <v>90.76000000000001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華新科(2492)</t>
        </is>
      </c>
      <c r="E319" s="138" t="n">
        <v>65</v>
      </c>
      <c r="F319" s="138" t="n">
        <v>38</v>
      </c>
      <c r="G319" s="138" t="n">
        <v>1971</v>
      </c>
      <c r="H319" s="138" t="n">
        <v>1154</v>
      </c>
      <c r="I319" s="138" t="n">
        <v>817</v>
      </c>
      <c r="J319" s="139" t="n">
        <v>303.22</v>
      </c>
      <c r="K319" s="139" t="n">
        <v>303.71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桓鼎-KY(5543)</t>
        </is>
      </c>
      <c r="E320" s="138" t="n">
        <v>400</v>
      </c>
      <c r="F320" s="138" t="n">
        <v>0</v>
      </c>
      <c r="G320" s="138" t="n">
        <v>1000</v>
      </c>
      <c r="H320" s="138" t="n">
        <v>0</v>
      </c>
      <c r="I320" s="138" t="n">
        <v>1000</v>
      </c>
      <c r="J320" s="139" t="n">
        <v>25</v>
      </c>
      <c r="K320" s="139" t="n">
        <v>0</v>
      </c>
      <c r="L320" s="191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世芯-KY(3661)</t>
        </is>
      </c>
      <c r="E322" s="138" t="n">
        <v>34</v>
      </c>
      <c r="F322" s="138" t="n">
        <v>6</v>
      </c>
      <c r="G322" s="138" t="n">
        <v>14115</v>
      </c>
      <c r="H322" s="138" t="n">
        <v>2678</v>
      </c>
      <c r="I322" s="138" t="n">
        <v>11437</v>
      </c>
      <c r="J322" s="139" t="n">
        <v>4151.56</v>
      </c>
      <c r="K322" s="139" t="n">
        <v>4463.17</v>
      </c>
      <c r="L322" s="191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聯發科(2454)</t>
        </is>
      </c>
      <c r="E323" s="138" t="n">
        <v>27</v>
      </c>
      <c r="F323" s="138" t="n">
        <v>23</v>
      </c>
      <c r="G323" s="138" t="n">
        <v>11520</v>
      </c>
      <c r="H323" s="138" t="n">
        <v>9796</v>
      </c>
      <c r="I323" s="138" t="n">
        <v>1724</v>
      </c>
      <c r="J323" s="139" t="n">
        <v>4266.81</v>
      </c>
      <c r="K323" s="139" t="n">
        <v>4259.17</v>
      </c>
      <c r="L323" s="192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東元(1504)</t>
        </is>
      </c>
      <c r="E324" s="138" t="n">
        <v>1055</v>
      </c>
      <c r="F324" s="138" t="n">
        <v>68</v>
      </c>
      <c r="G324" s="138" t="n">
        <v>7534</v>
      </c>
      <c r="H324" s="138" t="n">
        <v>486</v>
      </c>
      <c r="I324" s="138" t="n">
        <v>7048</v>
      </c>
      <c r="J324" s="139" t="n">
        <v>71.42</v>
      </c>
      <c r="K324" s="139" t="n">
        <v>71.53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台積電(2330)</t>
        </is>
      </c>
      <c r="E325" s="138" t="n">
        <v>21</v>
      </c>
      <c r="F325" s="138" t="n">
        <v>18</v>
      </c>
      <c r="G325" s="138" t="n">
        <v>5084</v>
      </c>
      <c r="H325" s="138" t="n">
        <v>4327</v>
      </c>
      <c r="I325" s="138" t="n">
        <v>757</v>
      </c>
      <c r="J325" s="139" t="n">
        <v>2421</v>
      </c>
      <c r="K325" s="139" t="n">
        <v>2404.11</v>
      </c>
      <c r="L325" s="192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台達電(2308)</t>
        </is>
      </c>
      <c r="E326" s="138" t="n">
        <v>26</v>
      </c>
      <c r="F326" s="138" t="n">
        <v>23</v>
      </c>
      <c r="G326" s="138" t="n">
        <v>4859</v>
      </c>
      <c r="H326" s="138" t="n">
        <v>4372</v>
      </c>
      <c r="I326" s="138" t="n">
        <v>487</v>
      </c>
      <c r="J326" s="139" t="n">
        <v>1869</v>
      </c>
      <c r="K326" s="139" t="n">
        <v>1900.65</v>
      </c>
      <c r="L326" s="191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國巨*(2327)</t>
        </is>
      </c>
      <c r="E327" s="138" t="n">
        <v>73</v>
      </c>
      <c r="F327" s="138" t="n">
        <v>48</v>
      </c>
      <c r="G327" s="138" t="n">
        <v>4548</v>
      </c>
      <c r="H327" s="138" t="n">
        <v>2977</v>
      </c>
      <c r="I327" s="138" t="n">
        <v>1571</v>
      </c>
      <c r="J327" s="139" t="n">
        <v>623.04</v>
      </c>
      <c r="K327" s="139" t="n">
        <v>620.12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瀚宇博(5469)</t>
        </is>
      </c>
      <c r="E328" s="138" t="n">
        <v>503</v>
      </c>
      <c r="F328" s="138" t="n">
        <v>3</v>
      </c>
      <c r="G328" s="138" t="n">
        <v>3744</v>
      </c>
      <c r="H328" s="138" t="n">
        <v>23</v>
      </c>
      <c r="I328" s="138" t="n">
        <v>3721</v>
      </c>
      <c r="J328" s="139" t="n">
        <v>74.44</v>
      </c>
      <c r="K328" s="139" t="n">
        <v>75.33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南亞科(2408)</t>
        </is>
      </c>
      <c r="E329" s="138" t="n">
        <v>66</v>
      </c>
      <c r="F329" s="138" t="n">
        <v>49</v>
      </c>
      <c r="G329" s="138" t="n">
        <v>3374</v>
      </c>
      <c r="H329" s="138" t="n">
        <v>2489</v>
      </c>
      <c r="I329" s="138" t="n">
        <v>885</v>
      </c>
      <c r="J329" s="139" t="n">
        <v>511.14</v>
      </c>
      <c r="K329" s="139" t="n">
        <v>508.02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華新(1605)</t>
        </is>
      </c>
      <c r="E330" s="138" t="n">
        <v>744</v>
      </c>
      <c r="F330" s="138" t="n">
        <v>43</v>
      </c>
      <c r="G330" s="138" t="n">
        <v>2956</v>
      </c>
      <c r="H330" s="138" t="n">
        <v>171</v>
      </c>
      <c r="I330" s="138" t="n">
        <v>2785</v>
      </c>
      <c r="J330" s="139" t="n">
        <v>39.73</v>
      </c>
      <c r="K330" s="139" t="n">
        <v>39.81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漢翔(2634)</t>
        </is>
      </c>
      <c r="E331" s="138" t="n">
        <v>437</v>
      </c>
      <c r="F331" s="138" t="n">
        <v>253</v>
      </c>
      <c r="G331" s="138" t="n">
        <v>2880</v>
      </c>
      <c r="H331" s="138" t="n">
        <v>1707</v>
      </c>
      <c r="I331" s="138" t="n">
        <v>1173</v>
      </c>
      <c r="J331" s="139" t="n">
        <v>65.91</v>
      </c>
      <c r="K331" s="139" t="n">
        <v>67.45</v>
      </c>
      <c r="L331" s="191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景碩(3189)</t>
        </is>
      </c>
      <c r="E333" s="138" t="n">
        <v>251</v>
      </c>
      <c r="F333" s="138" t="n">
        <v>14</v>
      </c>
      <c r="G333" s="138" t="n">
        <v>21469</v>
      </c>
      <c r="H333" s="138" t="n">
        <v>1218</v>
      </c>
      <c r="I333" s="138" t="n">
        <v>20251</v>
      </c>
      <c r="J333" s="139" t="n">
        <v>855.33</v>
      </c>
      <c r="K333" s="139" t="n">
        <v>869.9299999999999</v>
      </c>
      <c r="L333" s="191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國巨*(2327)</t>
        </is>
      </c>
      <c r="E334" s="138" t="n">
        <v>126</v>
      </c>
      <c r="F334" s="138" t="n">
        <v>57</v>
      </c>
      <c r="G334" s="138" t="n">
        <v>8046</v>
      </c>
      <c r="H334" s="138" t="n">
        <v>3587</v>
      </c>
      <c r="I334" s="138" t="n">
        <v>4459</v>
      </c>
      <c r="J334" s="139" t="n">
        <v>638.6</v>
      </c>
      <c r="K334" s="139" t="n">
        <v>629.33</v>
      </c>
      <c r="L334" s="192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南亞科(2408)</t>
        </is>
      </c>
      <c r="E335" s="138" t="n">
        <v>135</v>
      </c>
      <c r="F335" s="138" t="n">
        <v>125</v>
      </c>
      <c r="G335" s="138" t="n">
        <v>6924</v>
      </c>
      <c r="H335" s="138" t="n">
        <v>6424</v>
      </c>
      <c r="I335" s="138" t="n">
        <v>500</v>
      </c>
      <c r="J335" s="139" t="n">
        <v>512.86</v>
      </c>
      <c r="K335" s="139" t="n">
        <v>513.88</v>
      </c>
      <c r="L335" s="191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聯發科(2454)</t>
        </is>
      </c>
      <c r="E336" s="138" t="n">
        <v>15</v>
      </c>
      <c r="F336" s="138" t="n">
        <v>14</v>
      </c>
      <c r="G336" s="138" t="n">
        <v>6130</v>
      </c>
      <c r="H336" s="138" t="n">
        <v>5838</v>
      </c>
      <c r="I336" s="138" t="n">
        <v>292</v>
      </c>
      <c r="J336" s="139" t="n">
        <v>4086.93</v>
      </c>
      <c r="K336" s="139" t="n">
        <v>4170.29</v>
      </c>
      <c r="L336" s="191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台燿(6274)</t>
        </is>
      </c>
      <c r="E337" s="138" t="n">
        <v>33</v>
      </c>
      <c r="F337" s="138" t="n">
        <v>3</v>
      </c>
      <c r="G337" s="138" t="n">
        <v>5610</v>
      </c>
      <c r="H337" s="138" t="n">
        <v>586</v>
      </c>
      <c r="I337" s="138" t="n">
        <v>5024</v>
      </c>
      <c r="J337" s="139" t="n">
        <v>1699.85</v>
      </c>
      <c r="K337" s="139" t="n">
        <v>1953.33</v>
      </c>
      <c r="L337" s="191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世芯-KY(3661)</t>
        </is>
      </c>
      <c r="E338" s="138" t="n">
        <v>11</v>
      </c>
      <c r="F338" s="138" t="n">
        <v>10</v>
      </c>
      <c r="G338" s="138" t="n">
        <v>4804</v>
      </c>
      <c r="H338" s="138" t="n">
        <v>4053</v>
      </c>
      <c r="I338" s="138" t="n">
        <v>751</v>
      </c>
      <c r="J338" s="139" t="n">
        <v>4367.09</v>
      </c>
      <c r="K338" s="139" t="n">
        <v>4052.6</v>
      </c>
      <c r="L338" s="192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華新科(2492)</t>
        </is>
      </c>
      <c r="E339" s="138" t="n">
        <v>98</v>
      </c>
      <c r="F339" s="138" t="n">
        <v>68</v>
      </c>
      <c r="G339" s="138" t="n">
        <v>2972</v>
      </c>
      <c r="H339" s="138" t="n">
        <v>2052</v>
      </c>
      <c r="I339" s="138" t="n">
        <v>920</v>
      </c>
      <c r="J339" s="139" t="n">
        <v>303.3</v>
      </c>
      <c r="K339" s="139" t="n">
        <v>301.78</v>
      </c>
      <c r="L339" s="192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大立光(3008)</t>
        </is>
      </c>
      <c r="E340" s="138" t="n">
        <v>6</v>
      </c>
      <c r="F340" s="138" t="n">
        <v>3</v>
      </c>
      <c r="G340" s="138" t="n">
        <v>2936</v>
      </c>
      <c r="H340" s="138" t="n">
        <v>1586</v>
      </c>
      <c r="I340" s="138" t="n">
        <v>1350</v>
      </c>
      <c r="J340" s="139" t="n">
        <v>4893.5</v>
      </c>
      <c r="K340" s="139" t="n">
        <v>5287.67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台達電(2308)</t>
        </is>
      </c>
      <c r="E341" s="138" t="n">
        <v>12</v>
      </c>
      <c r="F341" s="138" t="n">
        <v>10</v>
      </c>
      <c r="G341" s="138" t="n">
        <v>2223</v>
      </c>
      <c r="H341" s="138" t="n">
        <v>1920</v>
      </c>
      <c r="I341" s="138" t="n">
        <v>303</v>
      </c>
      <c r="J341" s="139" t="n">
        <v>1852.42</v>
      </c>
      <c r="K341" s="139" t="n">
        <v>1920.2</v>
      </c>
      <c r="L341" s="191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金像電(2368)</t>
        </is>
      </c>
      <c r="E342" s="138" t="n">
        <v>20</v>
      </c>
      <c r="F342" s="138" t="n">
        <v>13</v>
      </c>
      <c r="G342" s="138" t="n">
        <v>2027</v>
      </c>
      <c r="H342" s="138" t="n">
        <v>1335</v>
      </c>
      <c r="I342" s="138" t="n">
        <v>692</v>
      </c>
      <c r="J342" s="139" t="n">
        <v>1013.65</v>
      </c>
      <c r="K342" s="139" t="n">
        <v>1027.23</v>
      </c>
      <c r="L342" s="191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199</v>
      </c>
      <c r="F344" s="138" t="n">
        <v>164</v>
      </c>
      <c r="G344" s="138" t="n">
        <v>10374</v>
      </c>
      <c r="H344" s="138" t="n">
        <v>8524</v>
      </c>
      <c r="I344" s="138" t="n">
        <v>1850</v>
      </c>
      <c r="J344" s="139" t="n">
        <v>521.3099999999999</v>
      </c>
      <c r="K344" s="139" t="n">
        <v>519.76</v>
      </c>
      <c r="L344" s="192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台積電(2330)</t>
        </is>
      </c>
      <c r="E345" s="138" t="n">
        <v>41</v>
      </c>
      <c r="F345" s="138" t="n">
        <v>4</v>
      </c>
      <c r="G345" s="138" t="n">
        <v>9789</v>
      </c>
      <c r="H345" s="138" t="n">
        <v>947</v>
      </c>
      <c r="I345" s="138" t="n">
        <v>8842</v>
      </c>
      <c r="J345" s="139" t="n">
        <v>2387.49</v>
      </c>
      <c r="K345" s="139" t="n">
        <v>2367.25</v>
      </c>
      <c r="L345" s="192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國巨*(2327)</t>
        </is>
      </c>
      <c r="E346" s="138" t="n">
        <v>54</v>
      </c>
      <c r="F346" s="138" t="n">
        <v>29</v>
      </c>
      <c r="G346" s="138" t="n">
        <v>3328</v>
      </c>
      <c r="H346" s="138" t="n">
        <v>1818</v>
      </c>
      <c r="I346" s="138" t="n">
        <v>1510</v>
      </c>
      <c r="J346" s="139" t="n">
        <v>616.37</v>
      </c>
      <c r="K346" s="139" t="n">
        <v>626.79</v>
      </c>
      <c r="L346" s="191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群聯(8299)</t>
        </is>
      </c>
      <c r="E347" s="138" t="n">
        <v>13</v>
      </c>
      <c r="F347" s="138" t="n">
        <v>3</v>
      </c>
      <c r="G347" s="138" t="n">
        <v>2669</v>
      </c>
      <c r="H347" s="138" t="n">
        <v>697</v>
      </c>
      <c r="I347" s="138" t="n">
        <v>1972</v>
      </c>
      <c r="J347" s="139" t="n">
        <v>2053</v>
      </c>
      <c r="K347" s="139" t="n">
        <v>2322.33</v>
      </c>
      <c r="L347" s="191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川湖(2059)</t>
        </is>
      </c>
      <c r="E348" s="138" t="n">
        <v>2</v>
      </c>
      <c r="F348" s="138" t="n">
        <v>1</v>
      </c>
      <c r="G348" s="138" t="n">
        <v>2534</v>
      </c>
      <c r="H348" s="138" t="n">
        <v>1283</v>
      </c>
      <c r="I348" s="138" t="n">
        <v>1251</v>
      </c>
      <c r="J348" s="139" t="n">
        <v>12668.5</v>
      </c>
      <c r="K348" s="139" t="n">
        <v>12832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金居(8358)</t>
        </is>
      </c>
      <c r="E349" s="138" t="n">
        <v>34</v>
      </c>
      <c r="F349" s="138" t="n">
        <v>27</v>
      </c>
      <c r="G349" s="138" t="n">
        <v>1470</v>
      </c>
      <c r="H349" s="138" t="n">
        <v>1166</v>
      </c>
      <c r="I349" s="138" t="n">
        <v>304</v>
      </c>
      <c r="J349" s="139" t="n">
        <v>432.24</v>
      </c>
      <c r="K349" s="139" t="n">
        <v>432.04</v>
      </c>
      <c r="L349" s="192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德宏(5475)</t>
        </is>
      </c>
      <c r="E350" s="138" t="n">
        <v>75</v>
      </c>
      <c r="F350" s="138" t="n">
        <v>60</v>
      </c>
      <c r="G350" s="138" t="n">
        <v>1285</v>
      </c>
      <c r="H350" s="138" t="n">
        <v>1022</v>
      </c>
      <c r="I350" s="138" t="n">
        <v>263</v>
      </c>
      <c r="J350" s="139" t="n">
        <v>171.39</v>
      </c>
      <c r="K350" s="139" t="n">
        <v>170.28</v>
      </c>
      <c r="L350" s="192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華新科(2492)</t>
        </is>
      </c>
      <c r="E351" s="138" t="n">
        <v>39</v>
      </c>
      <c r="F351" s="138" t="n">
        <v>29</v>
      </c>
      <c r="G351" s="138" t="n">
        <v>1179</v>
      </c>
      <c r="H351" s="138" t="n">
        <v>869</v>
      </c>
      <c r="I351" s="138" t="n">
        <v>310</v>
      </c>
      <c r="J351" s="139" t="n">
        <v>302.28</v>
      </c>
      <c r="K351" s="139" t="n">
        <v>299.59</v>
      </c>
      <c r="L351" s="192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台勝科(3532)</t>
        </is>
      </c>
      <c r="E352" s="138" t="n">
        <v>30</v>
      </c>
      <c r="F352" s="138" t="n">
        <v>19</v>
      </c>
      <c r="G352" s="138" t="n">
        <v>1062</v>
      </c>
      <c r="H352" s="138" t="n">
        <v>693</v>
      </c>
      <c r="I352" s="138" t="n">
        <v>369</v>
      </c>
      <c r="J352" s="139" t="n">
        <v>354.07</v>
      </c>
      <c r="K352" s="139" t="n">
        <v>364.68</v>
      </c>
      <c r="L352" s="191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矽力*-KY(6415)</t>
        </is>
      </c>
      <c r="E353" s="138" t="n">
        <v>21</v>
      </c>
      <c r="F353" s="138" t="n">
        <v>12</v>
      </c>
      <c r="G353" s="138" t="n">
        <v>1029</v>
      </c>
      <c r="H353" s="138" t="n">
        <v>556</v>
      </c>
      <c r="I353" s="138" t="n">
        <v>473</v>
      </c>
      <c r="J353" s="139" t="n">
        <v>490</v>
      </c>
      <c r="K353" s="139" t="n">
        <v>463</v>
      </c>
      <c r="L353" s="192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25</v>
      </c>
      <c r="F355" s="138" t="n">
        <v>1</v>
      </c>
      <c r="G355" s="138" t="n">
        <v>5279</v>
      </c>
      <c r="H355" s="138" t="n">
        <v>244</v>
      </c>
      <c r="I355" s="138" t="n">
        <v>5035</v>
      </c>
      <c r="J355" s="139" t="n">
        <v>2111.44</v>
      </c>
      <c r="K355" s="139" t="n">
        <v>2439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台虹(8039)</t>
        </is>
      </c>
      <c r="E356" s="138" t="n">
        <v>84</v>
      </c>
      <c r="F356" s="138" t="n">
        <v>38</v>
      </c>
      <c r="G356" s="138" t="n">
        <v>2228</v>
      </c>
      <c r="H356" s="138" t="n">
        <v>995</v>
      </c>
      <c r="I356" s="138" t="n">
        <v>1233</v>
      </c>
      <c r="J356" s="139" t="n">
        <v>265.25</v>
      </c>
      <c r="K356" s="139" t="n">
        <v>261.87</v>
      </c>
      <c r="L356" s="192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國巨*(2327)</t>
        </is>
      </c>
      <c r="E357" s="138" t="n">
        <v>35</v>
      </c>
      <c r="F357" s="138" t="n">
        <v>14</v>
      </c>
      <c r="G357" s="138" t="n">
        <v>2205</v>
      </c>
      <c r="H357" s="138" t="n">
        <v>903</v>
      </c>
      <c r="I357" s="138" t="n">
        <v>1302</v>
      </c>
      <c r="J357" s="139" t="n">
        <v>629.91</v>
      </c>
      <c r="K357" s="139" t="n">
        <v>644.79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健鼎(3044)</t>
        </is>
      </c>
      <c r="E358" s="138" t="n">
        <v>39</v>
      </c>
      <c r="F358" s="138" t="n">
        <v>3</v>
      </c>
      <c r="G358" s="138" t="n">
        <v>1923</v>
      </c>
      <c r="H358" s="138" t="n">
        <v>164</v>
      </c>
      <c r="I358" s="138" t="n">
        <v>1759</v>
      </c>
      <c r="J358" s="139" t="n">
        <v>493.05</v>
      </c>
      <c r="K358" s="139" t="n">
        <v>547.33</v>
      </c>
      <c r="L358" s="191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合晶(6182)</t>
        </is>
      </c>
      <c r="E359" s="138" t="n">
        <v>161</v>
      </c>
      <c r="F359" s="138" t="n">
        <v>89</v>
      </c>
      <c r="G359" s="138" t="n">
        <v>1830</v>
      </c>
      <c r="H359" s="138" t="n">
        <v>1018</v>
      </c>
      <c r="I359" s="138" t="n">
        <v>812</v>
      </c>
      <c r="J359" s="139" t="n">
        <v>113.63</v>
      </c>
      <c r="K359" s="139" t="n">
        <v>114.38</v>
      </c>
      <c r="L359" s="191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華新科(2492)</t>
        </is>
      </c>
      <c r="E360" s="138" t="n">
        <v>52</v>
      </c>
      <c r="F360" s="138" t="n">
        <v>17</v>
      </c>
      <c r="G360" s="138" t="n">
        <v>1624</v>
      </c>
      <c r="H360" s="138" t="n">
        <v>529</v>
      </c>
      <c r="I360" s="138" t="n">
        <v>1095</v>
      </c>
      <c r="J360" s="139" t="n">
        <v>312.33</v>
      </c>
      <c r="K360" s="139" t="n">
        <v>311.18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聯發科(2454)</t>
        </is>
      </c>
      <c r="E361" s="138" t="n">
        <v>4</v>
      </c>
      <c r="F361" s="138" t="n">
        <v>1</v>
      </c>
      <c r="G361" s="138" t="n">
        <v>1620</v>
      </c>
      <c r="H361" s="138" t="n">
        <v>286</v>
      </c>
      <c r="I361" s="138" t="n">
        <v>1334</v>
      </c>
      <c r="J361" s="139" t="n">
        <v>4050.5</v>
      </c>
      <c r="K361" s="139" t="n">
        <v>2858</v>
      </c>
      <c r="L361" s="192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威剛(3260)</t>
        </is>
      </c>
      <c r="E362" s="138" t="n">
        <v>27</v>
      </c>
      <c r="F362" s="138" t="n">
        <v>15</v>
      </c>
      <c r="G362" s="138" t="n">
        <v>1091</v>
      </c>
      <c r="H362" s="138" t="n">
        <v>600</v>
      </c>
      <c r="I362" s="138" t="n">
        <v>491</v>
      </c>
      <c r="J362" s="139" t="n">
        <v>404.07</v>
      </c>
      <c r="K362" s="139" t="n">
        <v>400.27</v>
      </c>
      <c r="L362" s="192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所羅門(2359)</t>
        </is>
      </c>
      <c r="E363" s="138" t="n">
        <v>66</v>
      </c>
      <c r="F363" s="138" t="n">
        <v>19</v>
      </c>
      <c r="G363" s="138" t="n">
        <v>1091</v>
      </c>
      <c r="H363" s="138" t="n">
        <v>313</v>
      </c>
      <c r="I363" s="138" t="n">
        <v>778</v>
      </c>
      <c r="J363" s="139" t="n">
        <v>165.26</v>
      </c>
      <c r="K363" s="139" t="n">
        <v>164.53</v>
      </c>
      <c r="L363" s="192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光寶科(2301)</t>
        </is>
      </c>
      <c r="E364" s="138" t="n">
        <v>39</v>
      </c>
      <c r="F364" s="138" t="n">
        <v>26</v>
      </c>
      <c r="G364" s="138" t="n">
        <v>1028</v>
      </c>
      <c r="H364" s="138" t="n">
        <v>690</v>
      </c>
      <c r="I364" s="138" t="n">
        <v>338</v>
      </c>
      <c r="J364" s="139" t="n">
        <v>263.64</v>
      </c>
      <c r="K364" s="139" t="n">
        <v>265.5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12</v>
      </c>
      <c r="F366" s="145" t="n">
        <v>11</v>
      </c>
      <c r="G366" s="145" t="n">
        <v>5184</v>
      </c>
      <c r="H366" s="145" t="n">
        <v>4694</v>
      </c>
      <c r="I366" s="145" t="n">
        <v>490</v>
      </c>
      <c r="J366" s="146" t="n">
        <v>4319.75</v>
      </c>
      <c r="K366" s="146" t="n">
        <v>4267.45</v>
      </c>
      <c r="L366" s="192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藥華藥(6446)</t>
        </is>
      </c>
      <c r="E367" s="145" t="n">
        <v>30</v>
      </c>
      <c r="F367" s="145" t="n">
        <v>6</v>
      </c>
      <c r="G367" s="145" t="n">
        <v>4502</v>
      </c>
      <c r="H367" s="145" t="n">
        <v>848</v>
      </c>
      <c r="I367" s="145" t="n">
        <v>3654</v>
      </c>
      <c r="J367" s="146" t="n">
        <v>1500.6</v>
      </c>
      <c r="K367" s="146" t="n">
        <v>1413.33</v>
      </c>
      <c r="L367" s="192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南電(8046)</t>
        </is>
      </c>
      <c r="E368" s="145" t="n">
        <v>34</v>
      </c>
      <c r="F368" s="145" t="n">
        <v>7</v>
      </c>
      <c r="G368" s="145" t="n">
        <v>4453</v>
      </c>
      <c r="H368" s="145" t="n">
        <v>864</v>
      </c>
      <c r="I368" s="145" t="n">
        <v>3589</v>
      </c>
      <c r="J368" s="146" t="n">
        <v>1309.68</v>
      </c>
      <c r="K368" s="146" t="n">
        <v>1234.57</v>
      </c>
      <c r="L368" s="192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群聯(8299)</t>
        </is>
      </c>
      <c r="E369" s="145" t="n">
        <v>20</v>
      </c>
      <c r="F369" s="145" t="n">
        <v>15</v>
      </c>
      <c r="G369" s="145" t="n">
        <v>4070</v>
      </c>
      <c r="H369" s="145" t="n">
        <v>3214</v>
      </c>
      <c r="I369" s="145" t="n">
        <v>856</v>
      </c>
      <c r="J369" s="146" t="n">
        <v>2034.75</v>
      </c>
      <c r="K369" s="146" t="n">
        <v>2142.73</v>
      </c>
      <c r="L369" s="191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國巨*(2327)</t>
        </is>
      </c>
      <c r="E370" s="145" t="n">
        <v>45</v>
      </c>
      <c r="F370" s="145" t="n">
        <v>30</v>
      </c>
      <c r="G370" s="145" t="n">
        <v>2777</v>
      </c>
      <c r="H370" s="145" t="n">
        <v>1857</v>
      </c>
      <c r="I370" s="145" t="n">
        <v>920</v>
      </c>
      <c r="J370" s="146" t="n">
        <v>617.11</v>
      </c>
      <c r="K370" s="146" t="n">
        <v>618.87</v>
      </c>
      <c r="L370" s="191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台虹(8039)</t>
        </is>
      </c>
      <c r="E371" s="145" t="n">
        <v>94</v>
      </c>
      <c r="F371" s="145" t="n">
        <v>82</v>
      </c>
      <c r="G371" s="145" t="n">
        <v>2556</v>
      </c>
      <c r="H371" s="145" t="n">
        <v>2237</v>
      </c>
      <c r="I371" s="145" t="n">
        <v>319</v>
      </c>
      <c r="J371" s="146" t="n">
        <v>271.97</v>
      </c>
      <c r="K371" s="146" t="n">
        <v>272.83</v>
      </c>
      <c r="L371" s="191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竑騰(7751)</t>
        </is>
      </c>
      <c r="E372" s="145" t="n">
        <v>15</v>
      </c>
      <c r="F372" s="145" t="n">
        <v>7</v>
      </c>
      <c r="G372" s="145" t="n">
        <v>2186</v>
      </c>
      <c r="H372" s="145" t="n">
        <v>1012</v>
      </c>
      <c r="I372" s="145" t="n">
        <v>1174</v>
      </c>
      <c r="J372" s="146" t="n">
        <v>1457.53</v>
      </c>
      <c r="K372" s="146" t="n">
        <v>1445.14</v>
      </c>
      <c r="L372" s="192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世芯-KY(3661)</t>
        </is>
      </c>
      <c r="E373" s="145" t="n">
        <v>5</v>
      </c>
      <c r="F373" s="145" t="n">
        <v>1</v>
      </c>
      <c r="G373" s="145" t="n">
        <v>2158</v>
      </c>
      <c r="H373" s="145" t="n">
        <v>134</v>
      </c>
      <c r="I373" s="145" t="n">
        <v>2024</v>
      </c>
      <c r="J373" s="146" t="n">
        <v>4315.2</v>
      </c>
      <c r="K373" s="146" t="n">
        <v>1343</v>
      </c>
      <c r="L373" s="192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健策(3653)</t>
        </is>
      </c>
      <c r="E374" s="145" t="n">
        <v>4</v>
      </c>
      <c r="F374" s="145" t="n">
        <v>2</v>
      </c>
      <c r="G374" s="145" t="n">
        <v>2014</v>
      </c>
      <c r="H374" s="145" t="n">
        <v>957</v>
      </c>
      <c r="I374" s="145" t="n">
        <v>1057</v>
      </c>
      <c r="J374" s="146" t="n">
        <v>5034.5</v>
      </c>
      <c r="K374" s="146" t="n">
        <v>4786.5</v>
      </c>
      <c r="L374" s="192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中環(2323)</t>
        </is>
      </c>
      <c r="E375" s="145" t="n">
        <v>1770</v>
      </c>
      <c r="F375" s="145" t="n">
        <v>5</v>
      </c>
      <c r="G375" s="145" t="n">
        <v>2000</v>
      </c>
      <c r="H375" s="145" t="n">
        <v>6</v>
      </c>
      <c r="I375" s="145" t="n">
        <v>1994</v>
      </c>
      <c r="J375" s="146" t="n">
        <v>11.3</v>
      </c>
      <c r="K375" s="146" t="n">
        <v>11.4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1560</v>
      </c>
      <c r="F377" s="151" t="n">
        <v>588</v>
      </c>
      <c r="G377" s="151" t="n">
        <v>32342</v>
      </c>
      <c r="H377" s="151" t="n">
        <v>12176</v>
      </c>
      <c r="I377" s="151" t="n">
        <v>20166</v>
      </c>
      <c r="J377" s="152" t="n">
        <v>207.32</v>
      </c>
      <c r="K377" s="152" t="n">
        <v>207.08</v>
      </c>
      <c r="L377" s="192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華邦電(2344)</t>
        </is>
      </c>
      <c r="E378" s="151" t="n">
        <v>863</v>
      </c>
      <c r="F378" s="151" t="n">
        <v>816</v>
      </c>
      <c r="G378" s="151" t="n">
        <v>16102</v>
      </c>
      <c r="H378" s="151" t="n">
        <v>15256</v>
      </c>
      <c r="I378" s="151" t="n">
        <v>846</v>
      </c>
      <c r="J378" s="152" t="n">
        <v>186.59</v>
      </c>
      <c r="K378" s="152" t="n">
        <v>186.96</v>
      </c>
      <c r="L378" s="191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南亞科(2408)</t>
        </is>
      </c>
      <c r="E379" s="151" t="n">
        <v>306</v>
      </c>
      <c r="F379" s="151" t="n">
        <v>110</v>
      </c>
      <c r="G379" s="151" t="n">
        <v>16072</v>
      </c>
      <c r="H379" s="151" t="n">
        <v>5803</v>
      </c>
      <c r="I379" s="151" t="n">
        <v>10269</v>
      </c>
      <c r="J379" s="152" t="n">
        <v>525.22</v>
      </c>
      <c r="K379" s="152" t="n">
        <v>527.55</v>
      </c>
      <c r="L379" s="191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華碩(2357)</t>
        </is>
      </c>
      <c r="E380" s="151" t="n">
        <v>101</v>
      </c>
      <c r="F380" s="151" t="n">
        <v>59</v>
      </c>
      <c r="G380" s="151" t="n">
        <v>9777</v>
      </c>
      <c r="H380" s="151" t="n">
        <v>5940</v>
      </c>
      <c r="I380" s="151" t="n">
        <v>3837</v>
      </c>
      <c r="J380" s="152" t="n">
        <v>968</v>
      </c>
      <c r="K380" s="152" t="n">
        <v>1006.75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台虹(8039)</t>
        </is>
      </c>
      <c r="E381" s="151" t="n">
        <v>309</v>
      </c>
      <c r="F381" s="151" t="n">
        <v>16</v>
      </c>
      <c r="G381" s="151" t="n">
        <v>8222</v>
      </c>
      <c r="H381" s="151" t="n">
        <v>424</v>
      </c>
      <c r="I381" s="151" t="n">
        <v>7798</v>
      </c>
      <c r="J381" s="152" t="n">
        <v>266.1</v>
      </c>
      <c r="K381" s="152" t="n">
        <v>264.69</v>
      </c>
      <c r="L381" s="192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健策(3653)</t>
        </is>
      </c>
      <c r="E382" s="151" t="n">
        <v>10</v>
      </c>
      <c r="F382" s="151" t="n">
        <v>1</v>
      </c>
      <c r="G382" s="151" t="n">
        <v>4824</v>
      </c>
      <c r="H382" s="151" t="n">
        <v>5</v>
      </c>
      <c r="I382" s="151" t="n">
        <v>4819</v>
      </c>
      <c r="J382" s="152" t="n">
        <v>4824.3</v>
      </c>
      <c r="K382" s="152" t="n">
        <v>46</v>
      </c>
      <c r="L382" s="192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台積電(2330)</t>
        </is>
      </c>
      <c r="E383" s="151" t="n">
        <v>18</v>
      </c>
      <c r="F383" s="151" t="n">
        <v>1</v>
      </c>
      <c r="G383" s="151" t="n">
        <v>4307</v>
      </c>
      <c r="H383" s="151" t="n">
        <v>164</v>
      </c>
      <c r="I383" s="151" t="n">
        <v>4143</v>
      </c>
      <c r="J383" s="152" t="n">
        <v>2393</v>
      </c>
      <c r="K383" s="152" t="n">
        <v>1638</v>
      </c>
      <c r="L383" s="192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高技(5439)</t>
        </is>
      </c>
      <c r="E384" s="151" t="n">
        <v>159</v>
      </c>
      <c r="F384" s="151" t="n">
        <v>36</v>
      </c>
      <c r="G384" s="151" t="n">
        <v>4063</v>
      </c>
      <c r="H384" s="151" t="n">
        <v>931</v>
      </c>
      <c r="I384" s="151" t="n">
        <v>3132</v>
      </c>
      <c r="J384" s="152" t="n">
        <v>255.56</v>
      </c>
      <c r="K384" s="152" t="n">
        <v>258.69</v>
      </c>
      <c r="L384" s="191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國巨*(2327)</t>
        </is>
      </c>
      <c r="E385" s="151" t="n">
        <v>24</v>
      </c>
      <c r="F385" s="151" t="n">
        <v>19</v>
      </c>
      <c r="G385" s="151" t="n">
        <v>1520</v>
      </c>
      <c r="H385" s="151" t="n">
        <v>1158</v>
      </c>
      <c r="I385" s="151" t="n">
        <v>362</v>
      </c>
      <c r="J385" s="152" t="n">
        <v>633.46</v>
      </c>
      <c r="K385" s="152" t="n">
        <v>609.63</v>
      </c>
      <c r="L385" s="192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亞泰金屬(6727)</t>
        </is>
      </c>
      <c r="E386" s="151" t="n">
        <v>33</v>
      </c>
      <c r="F386" s="151" t="n">
        <v>1</v>
      </c>
      <c r="G386" s="151" t="n">
        <v>1420</v>
      </c>
      <c r="H386" s="151" t="n">
        <v>7</v>
      </c>
      <c r="I386" s="151" t="n">
        <v>1413</v>
      </c>
      <c r="J386" s="152" t="n">
        <v>430.15</v>
      </c>
      <c r="K386" s="152" t="n">
        <v>73</v>
      </c>
      <c r="L386" s="192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世芯-KY(3661)</t>
        </is>
      </c>
      <c r="E388" s="151" t="n">
        <v>34</v>
      </c>
      <c r="F388" s="151" t="n">
        <v>6</v>
      </c>
      <c r="G388" s="151" t="n">
        <v>14115</v>
      </c>
      <c r="H388" s="151" t="n">
        <v>2678</v>
      </c>
      <c r="I388" s="151" t="n">
        <v>11437</v>
      </c>
      <c r="J388" s="152" t="n">
        <v>4151.56</v>
      </c>
      <c r="K388" s="152" t="n">
        <v>4463.17</v>
      </c>
      <c r="L388" s="191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聯發科(2454)</t>
        </is>
      </c>
      <c r="E389" s="151" t="n">
        <v>27</v>
      </c>
      <c r="F389" s="151" t="n">
        <v>23</v>
      </c>
      <c r="G389" s="151" t="n">
        <v>11520</v>
      </c>
      <c r="H389" s="151" t="n">
        <v>9796</v>
      </c>
      <c r="I389" s="151" t="n">
        <v>1724</v>
      </c>
      <c r="J389" s="152" t="n">
        <v>4266.81</v>
      </c>
      <c r="K389" s="152" t="n">
        <v>4259.17</v>
      </c>
      <c r="L389" s="192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東元(1504)</t>
        </is>
      </c>
      <c r="E390" s="151" t="n">
        <v>1055</v>
      </c>
      <c r="F390" s="151" t="n">
        <v>68</v>
      </c>
      <c r="G390" s="151" t="n">
        <v>7534</v>
      </c>
      <c r="H390" s="151" t="n">
        <v>486</v>
      </c>
      <c r="I390" s="151" t="n">
        <v>7048</v>
      </c>
      <c r="J390" s="152" t="n">
        <v>71.42</v>
      </c>
      <c r="K390" s="152" t="n">
        <v>71.53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台積電(2330)</t>
        </is>
      </c>
      <c r="E391" s="151" t="n">
        <v>21</v>
      </c>
      <c r="F391" s="151" t="n">
        <v>18</v>
      </c>
      <c r="G391" s="151" t="n">
        <v>5084</v>
      </c>
      <c r="H391" s="151" t="n">
        <v>4327</v>
      </c>
      <c r="I391" s="151" t="n">
        <v>757</v>
      </c>
      <c r="J391" s="152" t="n">
        <v>2421</v>
      </c>
      <c r="K391" s="152" t="n">
        <v>2404.11</v>
      </c>
      <c r="L391" s="192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台達電(2308)</t>
        </is>
      </c>
      <c r="E392" s="151" t="n">
        <v>26</v>
      </c>
      <c r="F392" s="151" t="n">
        <v>23</v>
      </c>
      <c r="G392" s="151" t="n">
        <v>4859</v>
      </c>
      <c r="H392" s="151" t="n">
        <v>4372</v>
      </c>
      <c r="I392" s="151" t="n">
        <v>487</v>
      </c>
      <c r="J392" s="152" t="n">
        <v>1869</v>
      </c>
      <c r="K392" s="152" t="n">
        <v>1900.65</v>
      </c>
      <c r="L392" s="191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國巨*(2327)</t>
        </is>
      </c>
      <c r="E393" s="151" t="n">
        <v>73</v>
      </c>
      <c r="F393" s="151" t="n">
        <v>48</v>
      </c>
      <c r="G393" s="151" t="n">
        <v>4548</v>
      </c>
      <c r="H393" s="151" t="n">
        <v>2977</v>
      </c>
      <c r="I393" s="151" t="n">
        <v>1571</v>
      </c>
      <c r="J393" s="152" t="n">
        <v>623.04</v>
      </c>
      <c r="K393" s="152" t="n">
        <v>620.12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瀚宇博(5469)</t>
        </is>
      </c>
      <c r="E394" s="151" t="n">
        <v>503</v>
      </c>
      <c r="F394" s="151" t="n">
        <v>3</v>
      </c>
      <c r="G394" s="151" t="n">
        <v>3744</v>
      </c>
      <c r="H394" s="151" t="n">
        <v>23</v>
      </c>
      <c r="I394" s="151" t="n">
        <v>3721</v>
      </c>
      <c r="J394" s="152" t="n">
        <v>74.44</v>
      </c>
      <c r="K394" s="152" t="n">
        <v>75.33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南亞科(2408)</t>
        </is>
      </c>
      <c r="E395" s="151" t="n">
        <v>66</v>
      </c>
      <c r="F395" s="151" t="n">
        <v>49</v>
      </c>
      <c r="G395" s="151" t="n">
        <v>3374</v>
      </c>
      <c r="H395" s="151" t="n">
        <v>2489</v>
      </c>
      <c r="I395" s="151" t="n">
        <v>885</v>
      </c>
      <c r="J395" s="152" t="n">
        <v>511.14</v>
      </c>
      <c r="K395" s="152" t="n">
        <v>508.02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華新(1605)</t>
        </is>
      </c>
      <c r="E396" s="151" t="n">
        <v>744</v>
      </c>
      <c r="F396" s="151" t="n">
        <v>43</v>
      </c>
      <c r="G396" s="151" t="n">
        <v>2956</v>
      </c>
      <c r="H396" s="151" t="n">
        <v>171</v>
      </c>
      <c r="I396" s="151" t="n">
        <v>2785</v>
      </c>
      <c r="J396" s="152" t="n">
        <v>39.73</v>
      </c>
      <c r="K396" s="152" t="n">
        <v>39.81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漢翔(2634)</t>
        </is>
      </c>
      <c r="E397" s="151" t="n">
        <v>437</v>
      </c>
      <c r="F397" s="151" t="n">
        <v>253</v>
      </c>
      <c r="G397" s="151" t="n">
        <v>2880</v>
      </c>
      <c r="H397" s="151" t="n">
        <v>1707</v>
      </c>
      <c r="I397" s="151" t="n">
        <v>1173</v>
      </c>
      <c r="J397" s="152" t="n">
        <v>65.91</v>
      </c>
      <c r="K397" s="152" t="n">
        <v>67.45</v>
      </c>
      <c r="L397" s="191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88</v>
      </c>
      <c r="F399" s="151" t="n">
        <v>41</v>
      </c>
      <c r="G399" s="151" t="n">
        <v>5644</v>
      </c>
      <c r="H399" s="151" t="n">
        <v>2571</v>
      </c>
      <c r="I399" s="151" t="n">
        <v>3073</v>
      </c>
      <c r="J399" s="152" t="n">
        <v>641.3099999999999</v>
      </c>
      <c r="K399" s="152" t="n">
        <v>627.17</v>
      </c>
      <c r="L399" s="192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群聯(8299)</t>
        </is>
      </c>
      <c r="E400" s="151" t="n">
        <v>24</v>
      </c>
      <c r="F400" s="151" t="n">
        <v>12</v>
      </c>
      <c r="G400" s="151" t="n">
        <v>4989</v>
      </c>
      <c r="H400" s="151" t="n">
        <v>2529</v>
      </c>
      <c r="I400" s="151" t="n">
        <v>2460</v>
      </c>
      <c r="J400" s="152" t="n">
        <v>2078.58</v>
      </c>
      <c r="K400" s="152" t="n">
        <v>2107.67</v>
      </c>
      <c r="L400" s="191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合晶(6182)</t>
        </is>
      </c>
      <c r="E401" s="151" t="n">
        <v>267</v>
      </c>
      <c r="F401" s="151" t="n">
        <v>120</v>
      </c>
      <c r="G401" s="151" t="n">
        <v>3058</v>
      </c>
      <c r="H401" s="151" t="n">
        <v>1389</v>
      </c>
      <c r="I401" s="151" t="n">
        <v>1669</v>
      </c>
      <c r="J401" s="152" t="n">
        <v>114.51</v>
      </c>
      <c r="K401" s="152" t="n">
        <v>115.74</v>
      </c>
      <c r="L401" s="191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金居(8358)</t>
        </is>
      </c>
      <c r="E402" s="151" t="n">
        <v>45</v>
      </c>
      <c r="F402" s="151" t="n">
        <v>30</v>
      </c>
      <c r="G402" s="151" t="n">
        <v>1946</v>
      </c>
      <c r="H402" s="151" t="n">
        <v>1306</v>
      </c>
      <c r="I402" s="151" t="n">
        <v>640</v>
      </c>
      <c r="J402" s="152" t="n">
        <v>432.42</v>
      </c>
      <c r="K402" s="152" t="n">
        <v>435.4</v>
      </c>
      <c r="L402" s="191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華新科(2492)</t>
        </is>
      </c>
      <c r="E403" s="151" t="n">
        <v>56</v>
      </c>
      <c r="F403" s="151" t="n">
        <v>38</v>
      </c>
      <c r="G403" s="151" t="n">
        <v>1680</v>
      </c>
      <c r="H403" s="151" t="n">
        <v>1155</v>
      </c>
      <c r="I403" s="151" t="n">
        <v>525</v>
      </c>
      <c r="J403" s="152" t="n">
        <v>299.93</v>
      </c>
      <c r="K403" s="152" t="n">
        <v>303.87</v>
      </c>
      <c r="L403" s="191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穩懋(3105)</t>
        </is>
      </c>
      <c r="E404" s="151" t="n">
        <v>43</v>
      </c>
      <c r="F404" s="151" t="n">
        <v>34</v>
      </c>
      <c r="G404" s="151" t="n">
        <v>1622</v>
      </c>
      <c r="H404" s="151" t="n">
        <v>1303</v>
      </c>
      <c r="I404" s="151" t="n">
        <v>319</v>
      </c>
      <c r="J404" s="152" t="n">
        <v>377.21</v>
      </c>
      <c r="K404" s="152" t="n">
        <v>383.24</v>
      </c>
      <c r="L404" s="191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鴻海(2317)</t>
        </is>
      </c>
      <c r="E405" s="151" t="n">
        <v>47</v>
      </c>
      <c r="F405" s="151" t="n">
        <v>19</v>
      </c>
      <c r="G405" s="151" t="n">
        <v>1236</v>
      </c>
      <c r="H405" s="151" t="n">
        <v>488</v>
      </c>
      <c r="I405" s="151" t="n">
        <v>748</v>
      </c>
      <c r="J405" s="152" t="n">
        <v>263.09</v>
      </c>
      <c r="K405" s="152" t="n">
        <v>256.68</v>
      </c>
      <c r="L405" s="192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日月光投控(3711)</t>
        </is>
      </c>
      <c r="E406" s="151" t="n">
        <v>14</v>
      </c>
      <c r="F406" s="151" t="n">
        <v>3</v>
      </c>
      <c r="G406" s="151" t="n">
        <v>884</v>
      </c>
      <c r="H406" s="151" t="n">
        <v>200</v>
      </c>
      <c r="I406" s="151" t="n">
        <v>684</v>
      </c>
      <c r="J406" s="152" t="n">
        <v>631.21</v>
      </c>
      <c r="K406" s="152" t="n">
        <v>668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力旺(3529)</t>
        </is>
      </c>
      <c r="E407" s="151" t="n">
        <v>3</v>
      </c>
      <c r="F407" s="151" t="n">
        <v>1</v>
      </c>
      <c r="G407" s="151" t="n">
        <v>826</v>
      </c>
      <c r="H407" s="151" t="n">
        <v>4</v>
      </c>
      <c r="I407" s="151" t="n">
        <v>822</v>
      </c>
      <c r="J407" s="152" t="n">
        <v>2753.33</v>
      </c>
      <c r="K407" s="152" t="n">
        <v>44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廣達(2382)</t>
        </is>
      </c>
      <c r="E408" s="151" t="n">
        <v>19</v>
      </c>
      <c r="F408" s="151" t="n">
        <v>8</v>
      </c>
      <c r="G408" s="151" t="n">
        <v>634</v>
      </c>
      <c r="H408" s="151" t="n">
        <v>270</v>
      </c>
      <c r="I408" s="151" t="n">
        <v>364</v>
      </c>
      <c r="J408" s="152" t="n">
        <v>333.84</v>
      </c>
      <c r="K408" s="152" t="n">
        <v>337.12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仁寶(2324)</t>
        </is>
      </c>
      <c r="E410" s="158" t="n">
        <v>41903</v>
      </c>
      <c r="F410" s="158" t="n">
        <v>37157</v>
      </c>
      <c r="G410" s="158" t="n">
        <v>181012</v>
      </c>
      <c r="H410" s="158" t="n">
        <v>160436</v>
      </c>
      <c r="I410" s="158" t="n">
        <v>20576</v>
      </c>
      <c r="J410" s="159" t="n">
        <v>43.2</v>
      </c>
      <c r="K410" s="159" t="n">
        <v>43.18</v>
      </c>
      <c r="L410" s="192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南亞(1303)</t>
        </is>
      </c>
      <c r="E411" s="158" t="n">
        <v>5112</v>
      </c>
      <c r="F411" s="158" t="n">
        <v>5004</v>
      </c>
      <c r="G411" s="158" t="n">
        <v>105819</v>
      </c>
      <c r="H411" s="158" t="n">
        <v>103809</v>
      </c>
      <c r="I411" s="158" t="n">
        <v>2010</v>
      </c>
      <c r="J411" s="159" t="n">
        <v>207</v>
      </c>
      <c r="K411" s="159" t="n">
        <v>207.45</v>
      </c>
      <c r="L411" s="191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雷虎(8033)</t>
        </is>
      </c>
      <c r="E412" s="158" t="n">
        <v>5082</v>
      </c>
      <c r="F412" s="158" t="n">
        <v>9</v>
      </c>
      <c r="G412" s="158" t="n">
        <v>102301</v>
      </c>
      <c r="H412" s="158" t="n">
        <v>178</v>
      </c>
      <c r="I412" s="158" t="n">
        <v>102123</v>
      </c>
      <c r="J412" s="159" t="n">
        <v>201.3</v>
      </c>
      <c r="K412" s="159" t="n">
        <v>198</v>
      </c>
      <c r="L412" s="192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正崴(2392)</t>
        </is>
      </c>
      <c r="E413" s="158" t="n">
        <v>1253</v>
      </c>
      <c r="F413" s="158" t="n">
        <v>93</v>
      </c>
      <c r="G413" s="158" t="n">
        <v>5396</v>
      </c>
      <c r="H413" s="158" t="n">
        <v>399</v>
      </c>
      <c r="I413" s="158" t="n">
        <v>4997</v>
      </c>
      <c r="J413" s="159" t="n">
        <v>43.06</v>
      </c>
      <c r="K413" s="159" t="n">
        <v>42.86</v>
      </c>
      <c r="L413" s="192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漢翔(2634)</t>
        </is>
      </c>
      <c r="E414" s="158" t="n">
        <v>603</v>
      </c>
      <c r="F414" s="158" t="n">
        <v>65</v>
      </c>
      <c r="G414" s="158" t="n">
        <v>4224</v>
      </c>
      <c r="H414" s="158" t="n">
        <v>439</v>
      </c>
      <c r="I414" s="158" t="n">
        <v>3785</v>
      </c>
      <c r="J414" s="159" t="n">
        <v>70.05</v>
      </c>
      <c r="K414" s="159" t="n">
        <v>67.48</v>
      </c>
      <c r="L414" s="192">
        <f>F414*(K414-J414)</f>
        <v/>
      </c>
    </row>
    <row r="415" ht="16.5" customHeight="1">
      <c r="A415" s="160" t="n"/>
      <c r="B415" s="160" t="n"/>
      <c r="C415" s="160" t="n"/>
      <c r="D415" s="157" t="inlineStr">
        <is>
          <t>龍德造船(6753)</t>
        </is>
      </c>
      <c r="E415" s="158" t="n">
        <v>159</v>
      </c>
      <c r="F415" s="158" t="n">
        <v>13</v>
      </c>
      <c r="G415" s="158" t="n">
        <v>2497</v>
      </c>
      <c r="H415" s="158" t="n">
        <v>199</v>
      </c>
      <c r="I415" s="158" t="n">
        <v>2298</v>
      </c>
      <c r="J415" s="159" t="n">
        <v>157.06</v>
      </c>
      <c r="K415" s="159" t="n">
        <v>153</v>
      </c>
      <c r="L415" s="192">
        <f>F415*(K415-J415)</f>
        <v/>
      </c>
    </row>
    <row r="416" ht="16.5" customHeight="1">
      <c r="A416" s="160" t="n"/>
      <c r="B416" s="160" t="n"/>
      <c r="C416" s="160" t="n"/>
      <c r="D416" s="157" t="inlineStr">
        <is>
          <t>長榮航太(2645)</t>
        </is>
      </c>
      <c r="E416" s="158" t="n">
        <v>104</v>
      </c>
      <c r="F416" s="158" t="n">
        <v>5</v>
      </c>
      <c r="G416" s="158" t="n">
        <v>2064</v>
      </c>
      <c r="H416" s="158" t="n">
        <v>89</v>
      </c>
      <c r="I416" s="158" t="n">
        <v>1975</v>
      </c>
      <c r="J416" s="159" t="n">
        <v>198.45</v>
      </c>
      <c r="K416" s="159" t="n">
        <v>178.8</v>
      </c>
      <c r="L416" s="192">
        <f>F416*(K416-J416)</f>
        <v/>
      </c>
    </row>
    <row r="417" ht="16.5" customHeight="1">
      <c r="A417" s="160" t="n"/>
      <c r="B417" s="160" t="n"/>
      <c r="C417" s="160" t="n"/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A418" s="160" t="n"/>
      <c r="B418" s="160" t="n"/>
      <c r="C418" s="160" t="n"/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0" t="n"/>
      <c r="B419" s="160" t="n"/>
      <c r="C419" s="160" t="n"/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雷虎(8033)</t>
        </is>
      </c>
      <c r="E421" s="158" t="n">
        <v>214</v>
      </c>
      <c r="F421" s="158" t="n">
        <v>83</v>
      </c>
      <c r="G421" s="158" t="n">
        <v>4166</v>
      </c>
      <c r="H421" s="158" t="n">
        <v>1643</v>
      </c>
      <c r="I421" s="158" t="n">
        <v>2523</v>
      </c>
      <c r="J421" s="159" t="n">
        <v>194.68</v>
      </c>
      <c r="K421" s="159" t="n">
        <v>197.92</v>
      </c>
      <c r="L421" s="191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仁寶(2324)</t>
        </is>
      </c>
      <c r="E422" s="158" t="n">
        <v>517</v>
      </c>
      <c r="F422" s="158" t="n">
        <v>204</v>
      </c>
      <c r="G422" s="158" t="n">
        <v>2230</v>
      </c>
      <c r="H422" s="158" t="n">
        <v>869</v>
      </c>
      <c r="I422" s="158" t="n">
        <v>1361</v>
      </c>
      <c r="J422" s="159" t="n">
        <v>43.14</v>
      </c>
      <c r="K422" s="159" t="n">
        <v>42.61</v>
      </c>
      <c r="L422" s="192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長榮航太(2645)</t>
        </is>
      </c>
      <c r="E423" s="158" t="n">
        <v>67</v>
      </c>
      <c r="F423" s="158" t="n">
        <v>10</v>
      </c>
      <c r="G423" s="158" t="n">
        <v>1337</v>
      </c>
      <c r="H423" s="158" t="n">
        <v>195</v>
      </c>
      <c r="I423" s="158" t="n">
        <v>1142</v>
      </c>
      <c r="J423" s="159" t="n">
        <v>199.51</v>
      </c>
      <c r="K423" s="159" t="n">
        <v>195.3</v>
      </c>
      <c r="L423" s="192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創泓科技(7714)</t>
        </is>
      </c>
      <c r="E424" s="158" t="n">
        <v>72</v>
      </c>
      <c r="F424" s="158" t="n">
        <v>17</v>
      </c>
      <c r="G424" s="158" t="n">
        <v>1239</v>
      </c>
      <c r="H424" s="158" t="n">
        <v>293</v>
      </c>
      <c r="I424" s="158" t="n">
        <v>946</v>
      </c>
      <c r="J424" s="159" t="n">
        <v>172.1</v>
      </c>
      <c r="K424" s="159" t="n">
        <v>172.53</v>
      </c>
      <c r="L424" s="191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精誠(6214)</t>
        </is>
      </c>
      <c r="E425" s="158" t="n">
        <v>37</v>
      </c>
      <c r="F425" s="158" t="n">
        <v>1</v>
      </c>
      <c r="G425" s="158" t="n">
        <v>636</v>
      </c>
      <c r="H425" s="158" t="n">
        <v>7</v>
      </c>
      <c r="I425" s="158" t="n">
        <v>629</v>
      </c>
      <c r="J425" s="159" t="n">
        <v>172</v>
      </c>
      <c r="K425" s="159" t="n">
        <v>69</v>
      </c>
      <c r="L425" s="192">
        <f>F425*(K425-J425)</f>
        <v/>
      </c>
    </row>
    <row r="426" ht="16.5" customHeight="1">
      <c r="A426" s="160" t="n"/>
      <c r="B426" s="160" t="n"/>
      <c r="C426" s="160" t="n"/>
      <c r="D426" s="162" t="inlineStr">
        <is>
          <t>⚪ 今日漲停僅 5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A427" s="160" t="n"/>
      <c r="B427" s="160" t="n"/>
      <c r="C427" s="160" t="n"/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0" t="n"/>
      <c r="B430" s="160" t="n"/>
      <c r="C430" s="160" t="n"/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A433" s="160" t="n"/>
      <c r="B433" s="160" t="n"/>
      <c r="C433" s="160" t="n"/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南亞(1303)</t>
        </is>
      </c>
      <c r="E443" s="167" t="n">
        <v>323</v>
      </c>
      <c r="F443" s="167" t="n">
        <v>148</v>
      </c>
      <c r="G443" s="167" t="n">
        <v>6424</v>
      </c>
      <c r="H443" s="167" t="n">
        <v>2964</v>
      </c>
      <c r="I443" s="167" t="n">
        <v>3460</v>
      </c>
      <c r="J443" s="168" t="n">
        <v>198.88</v>
      </c>
      <c r="K443" s="168" t="n">
        <v>200.3</v>
      </c>
      <c r="L443" s="191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台積電(2330)</t>
        </is>
      </c>
      <c r="E444" s="167" t="n">
        <v>19</v>
      </c>
      <c r="F444" s="167" t="n">
        <v>13</v>
      </c>
      <c r="G444" s="167" t="n">
        <v>4466</v>
      </c>
      <c r="H444" s="167" t="n">
        <v>3013</v>
      </c>
      <c r="I444" s="167" t="n">
        <v>1453</v>
      </c>
      <c r="J444" s="168" t="n">
        <v>2350.79</v>
      </c>
      <c r="K444" s="168" t="n">
        <v>2317.85</v>
      </c>
      <c r="L444" s="192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雍智科技(6683)</t>
        </is>
      </c>
      <c r="E445" s="167" t="n">
        <v>31</v>
      </c>
      <c r="F445" s="167" t="n">
        <v>1</v>
      </c>
      <c r="G445" s="167" t="n">
        <v>4233</v>
      </c>
      <c r="H445" s="167" t="n">
        <v>165</v>
      </c>
      <c r="I445" s="167" t="n">
        <v>4068</v>
      </c>
      <c r="J445" s="168" t="n">
        <v>1365.42</v>
      </c>
      <c r="K445" s="168" t="n">
        <v>1648</v>
      </c>
      <c r="L445" s="191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奇鋐(3017)</t>
        </is>
      </c>
      <c r="E446" s="167" t="n">
        <v>9</v>
      </c>
      <c r="F446" s="167" t="n">
        <v>5</v>
      </c>
      <c r="G446" s="167" t="n">
        <v>2879</v>
      </c>
      <c r="H446" s="167" t="n">
        <v>1537</v>
      </c>
      <c r="I446" s="167" t="n">
        <v>1342</v>
      </c>
      <c r="J446" s="168" t="n">
        <v>3198.89</v>
      </c>
      <c r="K446" s="168" t="n">
        <v>3074.2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合晶(6182)</t>
        </is>
      </c>
      <c r="E447" s="167" t="n">
        <v>234</v>
      </c>
      <c r="F447" s="167" t="n">
        <v>192</v>
      </c>
      <c r="G447" s="167" t="n">
        <v>2683</v>
      </c>
      <c r="H447" s="167" t="n">
        <v>2171</v>
      </c>
      <c r="I447" s="167" t="n">
        <v>512</v>
      </c>
      <c r="J447" s="168" t="n">
        <v>114.68</v>
      </c>
      <c r="K447" s="168" t="n">
        <v>113.06</v>
      </c>
      <c r="L447" s="192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鴻海(2317)</t>
        </is>
      </c>
      <c r="E448" s="167" t="n">
        <v>98</v>
      </c>
      <c r="F448" s="167" t="n">
        <v>77</v>
      </c>
      <c r="G448" s="167" t="n">
        <v>2531</v>
      </c>
      <c r="H448" s="167" t="n">
        <v>1986</v>
      </c>
      <c r="I448" s="167" t="n">
        <v>545</v>
      </c>
      <c r="J448" s="168" t="n">
        <v>258.24</v>
      </c>
      <c r="K448" s="168" t="n">
        <v>257.92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兆豐金(2886)</t>
        </is>
      </c>
      <c r="E449" s="167" t="n">
        <v>458</v>
      </c>
      <c r="F449" s="167" t="n">
        <v>10</v>
      </c>
      <c r="G449" s="167" t="n">
        <v>2139</v>
      </c>
      <c r="H449" s="167" t="n">
        <v>48</v>
      </c>
      <c r="I449" s="167" t="n">
        <v>2091</v>
      </c>
      <c r="J449" s="168" t="n">
        <v>46.7</v>
      </c>
      <c r="K449" s="168" t="n">
        <v>48.3</v>
      </c>
      <c r="L449" s="191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宜鼎(5289)</t>
        </is>
      </c>
      <c r="E450" s="167" t="n">
        <v>12</v>
      </c>
      <c r="F450" s="167" t="n">
        <v>3</v>
      </c>
      <c r="G450" s="167" t="n">
        <v>1822</v>
      </c>
      <c r="H450" s="167" t="n">
        <v>453</v>
      </c>
      <c r="I450" s="167" t="n">
        <v>1369</v>
      </c>
      <c r="J450" s="168" t="n">
        <v>1518</v>
      </c>
      <c r="K450" s="168" t="n">
        <v>1511</v>
      </c>
      <c r="L450" s="192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博智(8155)</t>
        </is>
      </c>
      <c r="E451" s="167" t="n">
        <v>51</v>
      </c>
      <c r="F451" s="167" t="n">
        <v>10</v>
      </c>
      <c r="G451" s="167" t="n">
        <v>1622</v>
      </c>
      <c r="H451" s="167" t="n">
        <v>329</v>
      </c>
      <c r="I451" s="167" t="n">
        <v>1293</v>
      </c>
      <c r="J451" s="168" t="n">
        <v>318.04</v>
      </c>
      <c r="K451" s="168" t="n">
        <v>329</v>
      </c>
      <c r="L451" s="191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緯創(3231)</t>
        </is>
      </c>
      <c r="E452" s="167" t="n">
        <v>81</v>
      </c>
      <c r="F452" s="167" t="n">
        <v>58</v>
      </c>
      <c r="G452" s="167" t="n">
        <v>1577</v>
      </c>
      <c r="H452" s="167" t="n">
        <v>1125</v>
      </c>
      <c r="I452" s="167" t="n">
        <v>452</v>
      </c>
      <c r="J452" s="168" t="n">
        <v>194.64</v>
      </c>
      <c r="K452" s="168" t="n">
        <v>194.03</v>
      </c>
      <c r="L452" s="192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聯電(2303)</t>
        </is>
      </c>
      <c r="E453" s="167" t="n">
        <v>106</v>
      </c>
      <c r="F453" s="167" t="n">
        <v>69</v>
      </c>
      <c r="G453" s="167" t="n">
        <v>1283</v>
      </c>
      <c r="H453" s="167" t="n">
        <v>834</v>
      </c>
      <c r="I453" s="167" t="n">
        <v>449</v>
      </c>
      <c r="J453" s="168" t="n">
        <v>121.02</v>
      </c>
      <c r="K453" s="168" t="n">
        <v>120.9</v>
      </c>
      <c r="L453" s="192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晶技(3042)</t>
        </is>
      </c>
      <c r="E454" s="167" t="n">
        <v>66</v>
      </c>
      <c r="F454" s="167" t="n">
        <v>4</v>
      </c>
      <c r="G454" s="167" t="n">
        <v>1217</v>
      </c>
      <c r="H454" s="167" t="n">
        <v>74</v>
      </c>
      <c r="I454" s="167" t="n">
        <v>1143</v>
      </c>
      <c r="J454" s="168" t="n">
        <v>184.44</v>
      </c>
      <c r="K454" s="168" t="n">
        <v>186</v>
      </c>
      <c r="L454" s="191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中光電(5371)</t>
        </is>
      </c>
      <c r="E455" s="167" t="n">
        <v>134</v>
      </c>
      <c r="F455" s="167" t="n">
        <v>62</v>
      </c>
      <c r="G455" s="167" t="n">
        <v>1216</v>
      </c>
      <c r="H455" s="167" t="n">
        <v>564</v>
      </c>
      <c r="I455" s="167" t="n">
        <v>652</v>
      </c>
      <c r="J455" s="168" t="n">
        <v>90.72</v>
      </c>
      <c r="K455" s="168" t="n">
        <v>90.94</v>
      </c>
      <c r="L455" s="191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聯詠(3034)</t>
        </is>
      </c>
      <c r="E456" s="167" t="n">
        <v>22</v>
      </c>
      <c r="F456" s="167" t="n">
        <v>0</v>
      </c>
      <c r="G456" s="167" t="n">
        <v>1103</v>
      </c>
      <c r="H456" s="167" t="n">
        <v>0</v>
      </c>
      <c r="I456" s="167" t="n">
        <v>1103</v>
      </c>
      <c r="J456" s="168" t="n">
        <v>501.36</v>
      </c>
      <c r="K456" s="168" t="n">
        <v>0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鴻勁(7769)</t>
        </is>
      </c>
      <c r="E457" s="167" t="n">
        <v>2</v>
      </c>
      <c r="F457" s="167" t="n">
        <v>1</v>
      </c>
      <c r="G457" s="167" t="n">
        <v>1081</v>
      </c>
      <c r="H457" s="167" t="n">
        <v>102</v>
      </c>
      <c r="I457" s="167" t="n">
        <v>979</v>
      </c>
      <c r="J457" s="168" t="n">
        <v>5404</v>
      </c>
      <c r="K457" s="168" t="n">
        <v>1016</v>
      </c>
      <c r="L457" s="192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中租-KY(5871)</t>
        </is>
      </c>
      <c r="E458" s="167" t="n">
        <v>94</v>
      </c>
      <c r="F458" s="167" t="n">
        <v>41</v>
      </c>
      <c r="G458" s="167" t="n">
        <v>1050</v>
      </c>
      <c r="H458" s="167" t="n">
        <v>457</v>
      </c>
      <c r="I458" s="167" t="n">
        <v>593</v>
      </c>
      <c r="J458" s="168" t="n">
        <v>111.73</v>
      </c>
      <c r="K458" s="168" t="n">
        <v>111.54</v>
      </c>
      <c r="L458" s="192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微星(2377)</t>
        </is>
      </c>
      <c r="E459" s="167" t="n">
        <v>61</v>
      </c>
      <c r="F459" s="167" t="n">
        <v>29</v>
      </c>
      <c r="G459" s="167" t="n">
        <v>976</v>
      </c>
      <c r="H459" s="167" t="n">
        <v>453</v>
      </c>
      <c r="I459" s="167" t="n">
        <v>523</v>
      </c>
      <c r="J459" s="168" t="n">
        <v>160.03</v>
      </c>
      <c r="K459" s="168" t="n">
        <v>156.28</v>
      </c>
      <c r="L459" s="192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京元電子(2449)</t>
        </is>
      </c>
      <c r="E460" s="167" t="n">
        <v>36</v>
      </c>
      <c r="F460" s="167" t="n">
        <v>18</v>
      </c>
      <c r="G460" s="167" t="n">
        <v>898</v>
      </c>
      <c r="H460" s="167" t="n">
        <v>438</v>
      </c>
      <c r="I460" s="167" t="n">
        <v>460</v>
      </c>
      <c r="J460" s="168" t="n">
        <v>249.58</v>
      </c>
      <c r="K460" s="168" t="n">
        <v>243.22</v>
      </c>
      <c r="L460" s="192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嘉澤(3533)</t>
        </is>
      </c>
      <c r="E461" s="167" t="n">
        <v>5</v>
      </c>
      <c r="F461" s="167" t="n">
        <v>1</v>
      </c>
      <c r="G461" s="167" t="n">
        <v>876</v>
      </c>
      <c r="H461" s="167" t="n">
        <v>27</v>
      </c>
      <c r="I461" s="167" t="n">
        <v>849</v>
      </c>
      <c r="J461" s="168" t="n">
        <v>1751.8</v>
      </c>
      <c r="K461" s="168" t="n">
        <v>272</v>
      </c>
      <c r="L461" s="192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台灣大(3045)</t>
        </is>
      </c>
      <c r="E462" s="167" t="n">
        <v>76</v>
      </c>
      <c r="F462" s="167" t="n">
        <v>0</v>
      </c>
      <c r="G462" s="167" t="n">
        <v>819</v>
      </c>
      <c r="H462" s="167" t="n">
        <v>0</v>
      </c>
      <c r="I462" s="167" t="n">
        <v>819</v>
      </c>
      <c r="J462" s="168" t="n">
        <v>107.82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金居(8358)</t>
        </is>
      </c>
      <c r="E464" s="173" t="n">
        <v>183</v>
      </c>
      <c r="F464" s="173" t="n">
        <v>84</v>
      </c>
      <c r="G464" s="173" t="n">
        <v>8136</v>
      </c>
      <c r="H464" s="173" t="n">
        <v>3774</v>
      </c>
      <c r="I464" s="173" t="n">
        <v>4362</v>
      </c>
      <c r="J464" s="174" t="n">
        <v>444.57</v>
      </c>
      <c r="K464" s="174" t="n">
        <v>449.3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群聯(8299)</t>
        </is>
      </c>
      <c r="E465" s="173" t="n">
        <v>37</v>
      </c>
      <c r="F465" s="173" t="n">
        <v>30</v>
      </c>
      <c r="G465" s="173" t="n">
        <v>7726</v>
      </c>
      <c r="H465" s="173" t="n">
        <v>6150</v>
      </c>
      <c r="I465" s="173" t="n">
        <v>1576</v>
      </c>
      <c r="J465" s="174" t="n">
        <v>2088.24</v>
      </c>
      <c r="K465" s="174" t="n">
        <v>2050.1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南亞科(2408)</t>
        </is>
      </c>
      <c r="E466" s="173" t="n">
        <v>75</v>
      </c>
      <c r="F466" s="173" t="n">
        <v>39</v>
      </c>
      <c r="G466" s="173" t="n">
        <v>3882</v>
      </c>
      <c r="H466" s="173" t="n">
        <v>2030</v>
      </c>
      <c r="I466" s="173" t="n">
        <v>1852</v>
      </c>
      <c r="J466" s="174" t="n">
        <v>517.53</v>
      </c>
      <c r="K466" s="174" t="n">
        <v>520.62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國巨*(2327)</t>
        </is>
      </c>
      <c r="E467" s="173" t="n">
        <v>43</v>
      </c>
      <c r="F467" s="173" t="n">
        <v>24</v>
      </c>
      <c r="G467" s="173" t="n">
        <v>2660</v>
      </c>
      <c r="H467" s="173" t="n">
        <v>1491</v>
      </c>
      <c r="I467" s="173" t="n">
        <v>1169</v>
      </c>
      <c r="J467" s="174" t="n">
        <v>618.51</v>
      </c>
      <c r="K467" s="174" t="n">
        <v>621.29</v>
      </c>
      <c r="L467" s="191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臻鼎-KY(4958)</t>
        </is>
      </c>
      <c r="E468" s="173" t="n">
        <v>52</v>
      </c>
      <c r="F468" s="173" t="n">
        <v>20</v>
      </c>
      <c r="G468" s="173" t="n">
        <v>2564</v>
      </c>
      <c r="H468" s="173" t="n">
        <v>992</v>
      </c>
      <c r="I468" s="173" t="n">
        <v>1572</v>
      </c>
      <c r="J468" s="174" t="n">
        <v>493.12</v>
      </c>
      <c r="K468" s="174" t="n">
        <v>495.8</v>
      </c>
      <c r="L468" s="191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華新科(2492)</t>
        </is>
      </c>
      <c r="E469" s="173" t="n">
        <v>82</v>
      </c>
      <c r="F469" s="173" t="n">
        <v>29</v>
      </c>
      <c r="G469" s="173" t="n">
        <v>2536</v>
      </c>
      <c r="H469" s="173" t="n">
        <v>908</v>
      </c>
      <c r="I469" s="173" t="n">
        <v>1628</v>
      </c>
      <c r="J469" s="174" t="n">
        <v>309.23</v>
      </c>
      <c r="K469" s="174" t="n">
        <v>312.93</v>
      </c>
      <c r="L469" s="191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合晶(6182)</t>
        </is>
      </c>
      <c r="E470" s="173" t="n">
        <v>186</v>
      </c>
      <c r="F470" s="173" t="n">
        <v>154</v>
      </c>
      <c r="G470" s="173" t="n">
        <v>2120</v>
      </c>
      <c r="H470" s="173" t="n">
        <v>1763</v>
      </c>
      <c r="I470" s="173" t="n">
        <v>357</v>
      </c>
      <c r="J470" s="174" t="n">
        <v>113.97</v>
      </c>
      <c r="K470" s="174" t="n">
        <v>114.49</v>
      </c>
      <c r="L470" s="191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中鋼(2002)</t>
        </is>
      </c>
      <c r="E471" s="173" t="n">
        <v>1025</v>
      </c>
      <c r="F471" s="173" t="n">
        <v>4</v>
      </c>
      <c r="G471" s="173" t="n">
        <v>1947</v>
      </c>
      <c r="H471" s="173" t="n">
        <v>8</v>
      </c>
      <c r="I471" s="173" t="n">
        <v>1939</v>
      </c>
      <c r="J471" s="174" t="n">
        <v>18.99</v>
      </c>
      <c r="K471" s="174" t="n">
        <v>19</v>
      </c>
      <c r="L471" s="191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精材(3374)</t>
        </is>
      </c>
      <c r="E472" s="173" t="n">
        <v>47</v>
      </c>
      <c r="F472" s="173" t="n">
        <v>6</v>
      </c>
      <c r="G472" s="173" t="n">
        <v>1536</v>
      </c>
      <c r="H472" s="173" t="n">
        <v>204</v>
      </c>
      <c r="I472" s="173" t="n">
        <v>1332</v>
      </c>
      <c r="J472" s="174" t="n">
        <v>326.89</v>
      </c>
      <c r="K472" s="174" t="n">
        <v>340.33</v>
      </c>
      <c r="L472" s="191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高力(8996)</t>
        </is>
      </c>
      <c r="E473" s="173" t="n">
        <v>11</v>
      </c>
      <c r="F473" s="173" t="n">
        <v>2</v>
      </c>
      <c r="G473" s="173" t="n">
        <v>1403</v>
      </c>
      <c r="H473" s="173" t="n">
        <v>262</v>
      </c>
      <c r="I473" s="173" t="n">
        <v>1141</v>
      </c>
      <c r="J473" s="174" t="n">
        <v>1275.27</v>
      </c>
      <c r="K473" s="174" t="n">
        <v>1308</v>
      </c>
      <c r="L473" s="191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58</v>
      </c>
      <c r="F475" s="173" t="n">
        <v>47</v>
      </c>
      <c r="G475" s="173" t="n">
        <v>12098</v>
      </c>
      <c r="H475" s="173" t="n">
        <v>9691</v>
      </c>
      <c r="I475" s="173" t="n">
        <v>2407</v>
      </c>
      <c r="J475" s="174" t="n">
        <v>2085.86</v>
      </c>
      <c r="K475" s="174" t="n">
        <v>2061.85</v>
      </c>
      <c r="L475" s="192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國巨*(2327)</t>
        </is>
      </c>
      <c r="E476" s="173" t="n">
        <v>164</v>
      </c>
      <c r="F476" s="173" t="n">
        <v>76</v>
      </c>
      <c r="G476" s="173" t="n">
        <v>10478</v>
      </c>
      <c r="H476" s="173" t="n">
        <v>4787</v>
      </c>
      <c r="I476" s="173" t="n">
        <v>5691</v>
      </c>
      <c r="J476" s="174" t="n">
        <v>638.9299999999999</v>
      </c>
      <c r="K476" s="174" t="n">
        <v>629.92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台積電(2330)</t>
        </is>
      </c>
      <c r="E477" s="173" t="n">
        <v>31</v>
      </c>
      <c r="F477" s="173" t="n">
        <v>22</v>
      </c>
      <c r="G477" s="173" t="n">
        <v>7495</v>
      </c>
      <c r="H477" s="173" t="n">
        <v>5183</v>
      </c>
      <c r="I477" s="173" t="n">
        <v>2312</v>
      </c>
      <c r="J477" s="174" t="n">
        <v>2417.87</v>
      </c>
      <c r="K477" s="174" t="n">
        <v>2356</v>
      </c>
      <c r="L477" s="192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金居(8358)</t>
        </is>
      </c>
      <c r="E478" s="173" t="n">
        <v>124</v>
      </c>
      <c r="F478" s="173" t="n">
        <v>93</v>
      </c>
      <c r="G478" s="173" t="n">
        <v>5307</v>
      </c>
      <c r="H478" s="173" t="n">
        <v>3996</v>
      </c>
      <c r="I478" s="173" t="n">
        <v>1311</v>
      </c>
      <c r="J478" s="174" t="n">
        <v>427.97</v>
      </c>
      <c r="K478" s="174" t="n">
        <v>429.65</v>
      </c>
      <c r="L478" s="191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合晶(6182)</t>
        </is>
      </c>
      <c r="E479" s="173" t="n">
        <v>317</v>
      </c>
      <c r="F479" s="173" t="n">
        <v>239</v>
      </c>
      <c r="G479" s="173" t="n">
        <v>3652</v>
      </c>
      <c r="H479" s="173" t="n">
        <v>2731</v>
      </c>
      <c r="I479" s="173" t="n">
        <v>921</v>
      </c>
      <c r="J479" s="174" t="n">
        <v>115.22</v>
      </c>
      <c r="K479" s="174" t="n">
        <v>114.26</v>
      </c>
      <c r="L479" s="192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聯電(2303)</t>
        </is>
      </c>
      <c r="E480" s="173" t="n">
        <v>233</v>
      </c>
      <c r="F480" s="173" t="n">
        <v>138</v>
      </c>
      <c r="G480" s="173" t="n">
        <v>2857</v>
      </c>
      <c r="H480" s="173" t="n">
        <v>1678</v>
      </c>
      <c r="I480" s="173" t="n">
        <v>1179</v>
      </c>
      <c r="J480" s="174" t="n">
        <v>122.63</v>
      </c>
      <c r="K480" s="174" t="n">
        <v>121.62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微星(2377)</t>
        </is>
      </c>
      <c r="E481" s="173" t="n">
        <v>112</v>
      </c>
      <c r="F481" s="173" t="n">
        <v>74</v>
      </c>
      <c r="G481" s="173" t="n">
        <v>1777</v>
      </c>
      <c r="H481" s="173" t="n">
        <v>1179</v>
      </c>
      <c r="I481" s="173" t="n">
        <v>598</v>
      </c>
      <c r="J481" s="174" t="n">
        <v>158.67</v>
      </c>
      <c r="K481" s="174" t="n">
        <v>159.32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川湖(2059)</t>
        </is>
      </c>
      <c r="E482" s="173" t="n">
        <v>1</v>
      </c>
      <c r="F482" s="173" t="n">
        <v>1</v>
      </c>
      <c r="G482" s="173" t="n">
        <v>1595</v>
      </c>
      <c r="H482" s="173" t="n">
        <v>307</v>
      </c>
      <c r="I482" s="173" t="n">
        <v>1288</v>
      </c>
      <c r="J482" s="174" t="n">
        <v>15950</v>
      </c>
      <c r="K482" s="174" t="n">
        <v>3070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順達(3211)</t>
        </is>
      </c>
      <c r="E483" s="173" t="n">
        <v>38</v>
      </c>
      <c r="F483" s="173" t="n">
        <v>12</v>
      </c>
      <c r="G483" s="173" t="n">
        <v>1493</v>
      </c>
      <c r="H483" s="173" t="n">
        <v>473</v>
      </c>
      <c r="I483" s="173" t="n">
        <v>1020</v>
      </c>
      <c r="J483" s="174" t="n">
        <v>392.89</v>
      </c>
      <c r="K483" s="174" t="n">
        <v>394</v>
      </c>
      <c r="L483" s="191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金像電(2368)</t>
        </is>
      </c>
      <c r="E484" s="173" t="n">
        <v>14</v>
      </c>
      <c r="F484" s="173" t="n">
        <v>5</v>
      </c>
      <c r="G484" s="173" t="n">
        <v>1457</v>
      </c>
      <c r="H484" s="173" t="n">
        <v>557</v>
      </c>
      <c r="I484" s="173" t="n">
        <v>900</v>
      </c>
      <c r="J484" s="174" t="n">
        <v>1040.64</v>
      </c>
      <c r="K484" s="174" t="n">
        <v>1114</v>
      </c>
      <c r="L484" s="191">
        <f>F484*(K484-J484)</f>
        <v/>
      </c>
    </row>
    <row r="485" ht="16.5" customHeight="1">
      <c r="A485" s="177" t="inlineStr">
        <is>
          <t>ⓘ histock top-buyer 資料 fetched @ 2026-08-14 15:39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2026-08-14T15:39:55Z</dcterms:modified>
</cp:coreProperties>
</file>