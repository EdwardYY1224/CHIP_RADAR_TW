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3" sheetId="6" state="visible" r:id="rId6"/>
    <sheet name="20260922" sheetId="7" state="visible" r:id="rId7"/>
    <sheet name="20260921" sheetId="8" state="visible" r:id="rId8"/>
    <sheet name="20260918" sheetId="9" state="visible" r:id="rId9"/>
    <sheet name="20260917" sheetId="10" state="visible" r:id="rId10"/>
    <sheet name="20260916" sheetId="11" state="visible" r:id="rId11"/>
    <sheet name="20260915" sheetId="12" state="visible" r:id="rId12"/>
    <sheet name="20260914" sheetId="13" state="visible" r:id="rId13"/>
    <sheet name="20260911" sheetId="14" state="visible" r:id="rId14"/>
    <sheet name="20260910" sheetId="15" state="visible" r:id="rId15"/>
    <sheet name="20260909" sheetId="16" state="visible" r:id="rId16"/>
    <sheet name="20260908" sheetId="17" state="visible" r:id="rId17"/>
    <sheet name="20260907" sheetId="18" state="visible" r:id="rId18"/>
    <sheet name="20260904" sheetId="19" state="visible" r:id="rId19"/>
    <sheet name="20260903" sheetId="20" state="visible" r:id="rId20"/>
    <sheet name="20260902" sheetId="21" state="visible" r:id="rId21"/>
    <sheet name="20260901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88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  <numFmt numFmtId="250" formatCode="0&quot; 檔 +55億 &quot;&quot;(昨10/5d10)&quot;"/>
    <numFmt numFmtId="251" formatCode="0.0%&quot; 市-755億 &quot;&quot;(昨18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0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51.4%
  • 領頭金額 38,949 萬
  • 合計淨買 75,733 萬
  • 大戶數 11 位 (名義共識)
判讀: 名義 11 位大戶共識,
實質 1 人下注佔 51%,
剩餘 10 位為陪襯小單,
真共識訊號被稀釋.</t>
      </text>
    </comment>
    <comment ref="D18" authorId="0" shapeId="0">
      <text>
        <t>⚠️ 假共識警示
領頭大戶「陳族元」獨佔比 62.7%
  • 領頭金額 40,672 萬
  • 合計淨買 64,851 萬
  • 大戶數 12 位 (名義共識)
判讀: 名義 12 位大戶共識,
實質 1 人下注佔 63%,
剩餘 11 位為陪襯小單,
真共識訊號被稀釋.</t>
      </text>
    </comment>
    <comment ref="D20" authorId="0" shapeId="0">
      <text>
        <t>⚠️ 假共識警示
領頭大戶「陳律師」獨佔比 56.6%
  • 領頭金額 32,000 萬
  • 合計淨買 56,489 萬
  • 大戶數 11 位 (名義共識)
判讀: 名義 11 位大戶共識,
實質 1 人下注佔 57%,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2026/09/23 (追蹤 13 位大戶)</t>
        </is>
      </c>
    </row>
    <row r="3" ht="24" customHeight="1">
      <c r="B3" s="2" t="inlineStr">
        <is>
          <t>🎯 15 強共識 / Q5 ↑ 偏多 63.1% / E 10 異常 / F 6 長期 / J 0 集中 / H 3 借券壓力</t>
        </is>
      </c>
    </row>
    <row r="4" ht="22" customHeight="1">
      <c r="B4" s="3" t="inlineStr">
        <is>
          <t>💡 📌 一般共識 6488 / 2454 / 2327 (Q5 偏多但無 master 量爆 — alpha 未啟動)  |  避開 — 除權息 5 檔: 00930, 1442, 1808 ... | 明日恐處置 3 檔: 3625/4304/4971  |  訊號: 強偏多 (Q5 63.1%,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16/38 = 42.1% vs baseline 46.0% = -15.0pp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(47%)  |  光電業 2 (13%)  |  電子零組件業 2 (13%)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6488</t>
        </is>
      </c>
      <c r="D16" t="inlineStr">
        <is>
          <t>📌 環球晶</t>
        </is>
      </c>
      <c r="E16" s="14" t="n">
        <v>12</v>
      </c>
      <c r="F16" s="15" t="n">
        <v>24</v>
      </c>
      <c r="G16" s="16" t="inlineStr">
        <is>
          <t>陳族元</t>
        </is>
      </c>
      <c r="H16" s="17" t="n">
        <v>37775</v>
      </c>
      <c r="I16" t="inlineStr">
        <is>
          <t>張濬安</t>
        </is>
      </c>
      <c r="J16" s="18" t="n">
        <v>11978</v>
      </c>
      <c r="K16" t="inlineStr">
        <is>
          <t>林滄海</t>
        </is>
      </c>
      <c r="L16" s="18" t="n">
        <v>8641</v>
      </c>
      <c r="M16" s="19" t="n">
        <v>9</v>
      </c>
      <c r="N16" s="17" t="n">
        <v>79140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11</v>
      </c>
      <c r="F17" s="15" t="n">
        <v>19</v>
      </c>
      <c r="G17" s="16" t="inlineStr">
        <is>
          <t>張濬安</t>
        </is>
      </c>
      <c r="H17" s="17" t="n">
        <v>38949</v>
      </c>
      <c r="I17" t="inlineStr">
        <is>
          <t>竹科主力分點</t>
        </is>
      </c>
      <c r="J17" s="18" t="n">
        <v>7267</v>
      </c>
      <c r="K17" t="inlineStr">
        <is>
          <t>蔣承翰</t>
        </is>
      </c>
      <c r="L17" s="18" t="n">
        <v>6586</v>
      </c>
      <c r="M17" s="19" t="n">
        <v>8</v>
      </c>
      <c r="N17" s="17" t="n">
        <v>75734</v>
      </c>
    </row>
    <row r="18">
      <c r="B18" s="13" t="n">
        <v>3</v>
      </c>
      <c r="C18" t="inlineStr">
        <is>
          <t>2327</t>
        </is>
      </c>
      <c r="D18" s="20" t="inlineStr">
        <is>
          <t>⚠️ 國巨*</t>
        </is>
      </c>
      <c r="E18" s="14" t="n">
        <v>12</v>
      </c>
      <c r="F18" s="15" t="n">
        <v>21</v>
      </c>
      <c r="G18" s="16" t="inlineStr">
        <is>
          <t>陳族元</t>
        </is>
      </c>
      <c r="H18" s="17" t="n">
        <v>40672</v>
      </c>
      <c r="I18" t="inlineStr">
        <is>
          <t>張濬安</t>
        </is>
      </c>
      <c r="J18" s="18" t="n">
        <v>8797</v>
      </c>
      <c r="K18" t="inlineStr">
        <is>
          <t>林滄海</t>
        </is>
      </c>
      <c r="L18" s="18" t="n">
        <v>5902</v>
      </c>
      <c r="M18" s="19" t="n">
        <v>9</v>
      </c>
      <c r="N18" s="17" t="n">
        <v>64852</v>
      </c>
    </row>
    <row r="19">
      <c r="B19" t="n">
        <v>4</v>
      </c>
      <c r="C19" t="inlineStr">
        <is>
          <t>2449</t>
        </is>
      </c>
      <c r="D19" t="inlineStr">
        <is>
          <t>📌 京元電子</t>
        </is>
      </c>
      <c r="E19" s="14" t="n">
        <v>12</v>
      </c>
      <c r="F19" s="15" t="n">
        <v>18</v>
      </c>
      <c r="G19" s="16" t="inlineStr">
        <is>
          <t>強森</t>
        </is>
      </c>
      <c r="H19" s="17" t="n">
        <v>21938</v>
      </c>
      <c r="I19" t="inlineStr">
        <is>
          <t>張濬安</t>
        </is>
      </c>
      <c r="J19" s="18" t="n">
        <v>20561</v>
      </c>
      <c r="K19" t="inlineStr">
        <is>
          <t>陳律師</t>
        </is>
      </c>
      <c r="L19" s="18" t="n">
        <v>4859</v>
      </c>
      <c r="M19" s="19" t="n">
        <v>9</v>
      </c>
      <c r="N19" s="17" t="n">
        <v>56632</v>
      </c>
    </row>
    <row r="20">
      <c r="B20" t="n">
        <v>5</v>
      </c>
      <c r="C20" t="inlineStr">
        <is>
          <t>3264</t>
        </is>
      </c>
      <c r="D20" s="20" t="inlineStr">
        <is>
          <t>📌 ⚠️ 欣銓</t>
        </is>
      </c>
      <c r="E20" s="14" t="n">
        <v>11</v>
      </c>
      <c r="F20" s="15" t="n">
        <v>22</v>
      </c>
      <c r="G20" s="16" t="inlineStr">
        <is>
          <t>陳律師</t>
        </is>
      </c>
      <c r="H20" s="17" t="n">
        <v>32001</v>
      </c>
      <c r="I20" t="inlineStr">
        <is>
          <t>林滄海</t>
        </is>
      </c>
      <c r="J20" s="18" t="n">
        <v>7841</v>
      </c>
      <c r="K20" t="inlineStr">
        <is>
          <t>竹科主力分點</t>
        </is>
      </c>
      <c r="L20" s="18" t="n">
        <v>3266</v>
      </c>
      <c r="M20" s="19" t="n">
        <v>8</v>
      </c>
      <c r="N20" s="17" t="n">
        <v>56490</v>
      </c>
    </row>
    <row r="21">
      <c r="B21" t="n">
        <v>6</v>
      </c>
      <c r="C21" t="inlineStr">
        <is>
          <t>4958</t>
        </is>
      </c>
      <c r="D21" t="inlineStr">
        <is>
          <t>📌 臻鼎-KY</t>
        </is>
      </c>
      <c r="E21" s="14" t="n">
        <v>12</v>
      </c>
      <c r="F21" s="15" t="n">
        <v>29</v>
      </c>
      <c r="G21" s="16" t="inlineStr">
        <is>
          <t>陳族元</t>
        </is>
      </c>
      <c r="H21" s="17" t="n">
        <v>13410</v>
      </c>
      <c r="I21" t="inlineStr">
        <is>
          <t>強森</t>
        </is>
      </c>
      <c r="J21" s="18" t="n">
        <v>4401</v>
      </c>
      <c r="K21" t="inlineStr">
        <is>
          <t>竹科主力分點</t>
        </is>
      </c>
      <c r="L21" s="18" t="n">
        <v>4286</v>
      </c>
      <c r="M21" s="19" t="n">
        <v>9</v>
      </c>
      <c r="N21" s="17" t="n">
        <v>44791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4" t="n">
        <v>11</v>
      </c>
      <c r="F22" s="15" t="n">
        <v>24</v>
      </c>
      <c r="G22" s="16" t="inlineStr">
        <is>
          <t>張濬安</t>
        </is>
      </c>
      <c r="H22" s="17" t="n">
        <v>6704</v>
      </c>
      <c r="I22" t="inlineStr">
        <is>
          <t>強森</t>
        </is>
      </c>
      <c r="J22" s="18" t="n">
        <v>5064</v>
      </c>
      <c r="K22" t="inlineStr">
        <is>
          <t>陳族元</t>
        </is>
      </c>
      <c r="L22" s="18" t="n">
        <v>4966</v>
      </c>
      <c r="M22" s="19" t="n">
        <v>8</v>
      </c>
      <c r="N22" s="17" t="n">
        <v>31338</v>
      </c>
    </row>
    <row r="23">
      <c r="B23" t="n">
        <v>8</v>
      </c>
      <c r="C23" t="inlineStr">
        <is>
          <t>3374</t>
        </is>
      </c>
      <c r="D23" t="inlineStr">
        <is>
          <t>📌 精材</t>
        </is>
      </c>
      <c r="E23" s="14" t="n">
        <v>11</v>
      </c>
      <c r="F23" s="15" t="n">
        <v>15</v>
      </c>
      <c r="G23" s="16" t="inlineStr">
        <is>
          <t>張濬安</t>
        </is>
      </c>
      <c r="H23" s="17" t="n">
        <v>7956</v>
      </c>
      <c r="I23" t="inlineStr">
        <is>
          <t>陳律師</t>
        </is>
      </c>
      <c r="J23" s="18" t="n">
        <v>6758</v>
      </c>
      <c r="K23" t="inlineStr">
        <is>
          <t>林滄海</t>
        </is>
      </c>
      <c r="L23" s="18" t="n">
        <v>3477</v>
      </c>
      <c r="M23" s="19" t="n">
        <v>8</v>
      </c>
      <c r="N23" s="17" t="n">
        <v>29482</v>
      </c>
    </row>
    <row r="24">
      <c r="B24" t="n">
        <v>9</v>
      </c>
      <c r="C24" t="inlineStr">
        <is>
          <t>1303</t>
        </is>
      </c>
      <c r="D24" t="inlineStr">
        <is>
          <t>📌 🔁 南亞</t>
        </is>
      </c>
      <c r="E24" s="14" t="n">
        <v>13</v>
      </c>
      <c r="F24" s="15" t="n">
        <v>21</v>
      </c>
      <c r="G24" s="16" t="inlineStr">
        <is>
          <t>張濬安</t>
        </is>
      </c>
      <c r="H24" s="17" t="n">
        <v>10708</v>
      </c>
      <c r="I24" t="inlineStr">
        <is>
          <t>強森</t>
        </is>
      </c>
      <c r="J24" s="18" t="n">
        <v>4869</v>
      </c>
      <c r="K24" t="inlineStr">
        <is>
          <t>竹科主力分點</t>
        </is>
      </c>
      <c r="L24" s="18" t="n">
        <v>2398</v>
      </c>
      <c r="M24" s="19" t="n">
        <v>10</v>
      </c>
      <c r="N24" s="17" t="n">
        <v>25139</v>
      </c>
    </row>
    <row r="25">
      <c r="B25" t="n">
        <v>10</v>
      </c>
      <c r="C25" t="inlineStr">
        <is>
          <t>6182</t>
        </is>
      </c>
      <c r="D25" t="inlineStr">
        <is>
          <t>合晶</t>
        </is>
      </c>
      <c r="E25" s="14" t="n">
        <v>10</v>
      </c>
      <c r="F25" s="15" t="n">
        <v>21</v>
      </c>
      <c r="G25" s="16" t="inlineStr">
        <is>
          <t>陳族元</t>
        </is>
      </c>
      <c r="H25" s="17" t="n">
        <v>5940</v>
      </c>
      <c r="I25" t="inlineStr">
        <is>
          <t>陳律師</t>
        </is>
      </c>
      <c r="J25" s="18" t="n">
        <v>4963</v>
      </c>
      <c r="K25" t="inlineStr">
        <is>
          <t>強森</t>
        </is>
      </c>
      <c r="L25" s="18" t="n">
        <v>3566</v>
      </c>
      <c r="M25" s="19" t="n">
        <v>7</v>
      </c>
      <c r="N25" s="17" t="n">
        <v>22309</v>
      </c>
    </row>
    <row r="26">
      <c r="B26" t="n">
        <v>11</v>
      </c>
      <c r="C26" t="inlineStr">
        <is>
          <t>3081</t>
        </is>
      </c>
      <c r="D26" t="inlineStr">
        <is>
          <t>📌 🔁 聯亞</t>
        </is>
      </c>
      <c r="E26" s="14" t="n">
        <v>10</v>
      </c>
      <c r="F26" s="15" t="n">
        <v>17</v>
      </c>
      <c r="G26" s="16" t="inlineStr">
        <is>
          <t>陳族元</t>
        </is>
      </c>
      <c r="H26" s="17" t="n">
        <v>5402</v>
      </c>
      <c r="I26" t="inlineStr">
        <is>
          <t>張濬安</t>
        </is>
      </c>
      <c r="J26" s="18" t="n">
        <v>4840</v>
      </c>
      <c r="K26" t="inlineStr">
        <is>
          <t>民哥</t>
        </is>
      </c>
      <c r="L26" s="18" t="n">
        <v>4508</v>
      </c>
      <c r="M26" s="19" t="n">
        <v>7</v>
      </c>
      <c r="N26" s="17" t="n">
        <v>21000</v>
      </c>
    </row>
    <row r="27">
      <c r="B27" t="n">
        <v>12</v>
      </c>
      <c r="C27" t="inlineStr">
        <is>
          <t>5483</t>
        </is>
      </c>
      <c r="D27" t="inlineStr">
        <is>
          <t>📌 中美晶</t>
        </is>
      </c>
      <c r="E27" s="14" t="n">
        <v>12</v>
      </c>
      <c r="F27" s="15" t="n">
        <v>24</v>
      </c>
      <c r="G27" s="16" t="inlineStr">
        <is>
          <t>張濬安</t>
        </is>
      </c>
      <c r="H27" s="17" t="n">
        <v>4767</v>
      </c>
      <c r="I27" t="inlineStr">
        <is>
          <t>民哥</t>
        </is>
      </c>
      <c r="J27" s="18" t="n">
        <v>3724</v>
      </c>
      <c r="K27" t="inlineStr">
        <is>
          <t>林滄海</t>
        </is>
      </c>
      <c r="L27" s="18" t="n">
        <v>3284</v>
      </c>
      <c r="M27" s="19" t="n">
        <v>9</v>
      </c>
      <c r="N27" s="17" t="n">
        <v>20505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12</v>
      </c>
      <c r="F28" s="15" t="n">
        <v>24</v>
      </c>
      <c r="G28" s="16" t="inlineStr">
        <is>
          <t>強森</t>
        </is>
      </c>
      <c r="H28" s="17" t="n">
        <v>2887</v>
      </c>
      <c r="I28" t="inlineStr">
        <is>
          <t>陳族元</t>
        </is>
      </c>
      <c r="J28" s="18" t="n">
        <v>2213</v>
      </c>
      <c r="K28" t="inlineStr">
        <is>
          <t>張濬安</t>
        </is>
      </c>
      <c r="L28" s="18" t="n">
        <v>1332</v>
      </c>
      <c r="M28" s="19" t="n">
        <v>9</v>
      </c>
      <c r="N28" s="17" t="n">
        <v>11530</v>
      </c>
    </row>
    <row r="29">
      <c r="B29" t="n">
        <v>14</v>
      </c>
      <c r="C29" t="inlineStr">
        <is>
          <t>2542</t>
        </is>
      </c>
      <c r="D29" t="inlineStr">
        <is>
          <t>📌 興富發</t>
        </is>
      </c>
      <c r="E29" s="14" t="n">
        <v>11</v>
      </c>
      <c r="F29" s="15" t="n">
        <v>19</v>
      </c>
      <c r="G29" s="16" t="inlineStr">
        <is>
          <t>陳族元</t>
        </is>
      </c>
      <c r="H29" s="17" t="n">
        <v>1752</v>
      </c>
      <c r="I29" t="inlineStr">
        <is>
          <t>強森</t>
        </is>
      </c>
      <c r="J29" s="18" t="n">
        <v>605</v>
      </c>
      <c r="K29" t="inlineStr">
        <is>
          <t>張濬安</t>
        </is>
      </c>
      <c r="L29" s="18" t="n">
        <v>526</v>
      </c>
      <c r="M29" s="19" t="n">
        <v>8</v>
      </c>
      <c r="N29" s="17" t="n">
        <v>4990</v>
      </c>
    </row>
    <row r="30">
      <c r="B30" t="n">
        <v>15</v>
      </c>
      <c r="C30" t="inlineStr">
        <is>
          <t>2834</t>
        </is>
      </c>
      <c r="D30" t="inlineStr">
        <is>
          <t>臺企銀</t>
        </is>
      </c>
      <c r="E30" s="14" t="n">
        <v>10</v>
      </c>
      <c r="F30" s="15" t="n">
        <v>15</v>
      </c>
      <c r="G30" s="16" t="inlineStr">
        <is>
          <t>陳族元</t>
        </is>
      </c>
      <c r="H30" s="17" t="n">
        <v>234</v>
      </c>
      <c r="I30" t="inlineStr">
        <is>
          <t>林滄海</t>
        </is>
      </c>
      <c r="J30" s="18" t="n">
        <v>234</v>
      </c>
      <c r="K30" t="inlineStr">
        <is>
          <t>強森</t>
        </is>
      </c>
      <c r="L30" s="18" t="n">
        <v>163</v>
      </c>
      <c r="M30" s="19" t="n">
        <v>7</v>
      </c>
      <c r="N30" s="17" t="n">
        <v>1313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10" t="n">
        <v>1</v>
      </c>
      <c r="F33" s="22" t="inlineStr">
        <is>
          <t>Q2 淨買差</t>
        </is>
      </c>
      <c r="G33" s="315" t="n">
        <v>-108.63917</v>
      </c>
    </row>
    <row r="34" ht="28" customHeight="1">
      <c r="B34" s="22" t="inlineStr">
        <is>
          <t>Q3 強共識股</t>
        </is>
      </c>
      <c r="C34" s="318" t="n">
        <v>15</v>
      </c>
      <c r="F34" s="22" t="inlineStr">
        <is>
          <t>Q4 追蹤佔比</t>
        </is>
      </c>
      <c r="G34" s="319" t="n">
        <v>0.160926883725978</v>
      </c>
    </row>
    <row r="35" ht="22" customHeight="1">
      <c r="B35" s="214" t="n">
        <v>63.1</v>
      </c>
    </row>
    <row r="36" ht="18" customHeight="1">
      <c r="B36" s="28" t="inlineStr">
        <is>
          <t>✅ 過去 30 天 P/C 命中率: 偏多 14/22 (64%) | 偏空 1/1 (100%) | 整體 15/23 (65%)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1502463</v>
      </c>
      <c r="E40" t="inlineStr">
        <is>
          <t>35.1%</t>
        </is>
      </c>
      <c r="F40" t="n">
        <v>1</v>
      </c>
      <c r="G40" s="16" t="inlineStr">
        <is>
          <t>金像電(2368)</t>
        </is>
      </c>
      <c r="H40" s="33" t="n">
        <v>134636</v>
      </c>
      <c r="I40" s="215" t="n">
        <v>0.09619999999999999</v>
      </c>
    </row>
    <row r="41">
      <c r="B41" t="n">
        <v>2</v>
      </c>
      <c r="C41" s="35" t="inlineStr">
        <is>
          <t>陳族元</t>
        </is>
      </c>
      <c r="D41" s="33" t="n">
        <v>1021806</v>
      </c>
      <c r="E41" t="inlineStr">
        <is>
          <t>23.9%</t>
        </is>
      </c>
      <c r="F41" t="n">
        <v>2</v>
      </c>
      <c r="G41" s="16" t="inlineStr">
        <is>
          <t>台達電(2308)</t>
        </is>
      </c>
      <c r="H41" s="33" t="n">
        <v>128645</v>
      </c>
      <c r="I41" s="234" t="n">
        <v>0</v>
      </c>
    </row>
    <row r="42">
      <c r="B42" t="n">
        <v>3</v>
      </c>
      <c r="C42" s="36" t="inlineStr">
        <is>
          <t>陳律師</t>
        </is>
      </c>
      <c r="D42" s="33" t="n">
        <v>347731</v>
      </c>
      <c r="E42" t="inlineStr">
        <is>
          <t>8.1%</t>
        </is>
      </c>
      <c r="F42" t="n">
        <v>3</v>
      </c>
      <c r="G42" s="16" t="inlineStr">
        <is>
          <t>貿聯-KY(3665)</t>
        </is>
      </c>
      <c r="H42" s="33" t="n">
        <v>87000</v>
      </c>
      <c r="I42" s="215" t="n">
        <v>0.0423</v>
      </c>
    </row>
    <row r="43">
      <c r="B43" t="n">
        <v>4</v>
      </c>
      <c r="C43" s="37" t="inlineStr">
        <is>
          <t>林滄海</t>
        </is>
      </c>
      <c r="D43" s="33" t="n">
        <v>314015</v>
      </c>
      <c r="E43" t="inlineStr">
        <is>
          <t>7.3%</t>
        </is>
      </c>
      <c r="F43" t="n">
        <v>4</v>
      </c>
      <c r="G43" s="16" t="inlineStr">
        <is>
          <t>台積電(2330)</t>
        </is>
      </c>
      <c r="H43" s="33" t="n">
        <v>82743</v>
      </c>
      <c r="I43" s="215" t="n">
        <v>0.0163</v>
      </c>
    </row>
    <row r="44">
      <c r="B44" t="n">
        <v>5</v>
      </c>
      <c r="C44" s="52" t="inlineStr">
        <is>
          <t>強森</t>
        </is>
      </c>
      <c r="D44" s="33" t="n">
        <v>281564</v>
      </c>
      <c r="E44" t="inlineStr">
        <is>
          <t>6.6%</t>
        </is>
      </c>
      <c r="F44" t="n">
        <v>5</v>
      </c>
      <c r="G44" s="16" t="inlineStr">
        <is>
          <t>環球晶(6488)</t>
        </is>
      </c>
      <c r="H44" s="33" t="n">
        <v>79140</v>
      </c>
      <c r="I44" s="233" t="n">
        <v>-0.0216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民哥</t>
        </is>
      </c>
      <c r="D49" t="inlineStr">
        <is>
          <t>high</t>
        </is>
      </c>
      <c r="E49" t="inlineStr">
        <is>
          <t>民哥 今日買進 10 檔新標的 (過去從沒買過)</t>
        </is>
      </c>
      <c r="F49" t="inlineStr">
        <is>
          <t>10 檔</t>
        </is>
      </c>
    </row>
    <row r="50">
      <c r="B50" s="40" t="inlineStr">
        <is>
          <t>🆕 新標的</t>
        </is>
      </c>
      <c r="C50" s="40" t="inlineStr">
        <is>
          <t>Tradow</t>
        </is>
      </c>
      <c r="D50" s="40" t="inlineStr">
        <is>
          <t>high</t>
        </is>
      </c>
      <c r="E50" s="40" t="inlineStr">
        <is>
          <t>Tradow 今日買進 9 檔新標的 (過去從沒買過)</t>
        </is>
      </c>
      <c r="F50" s="40" t="inlineStr">
        <is>
          <t>9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high</t>
        </is>
      </c>
      <c r="E51" t="inlineStr">
        <is>
          <t>蔣承翰 今日買進 9 檔新標的 (過去從沒買過)</t>
        </is>
      </c>
      <c r="F51" t="inlineStr">
        <is>
          <t>9 檔</t>
        </is>
      </c>
    </row>
    <row r="52">
      <c r="B52" s="40" t="inlineStr">
        <is>
          <t>🆕 新標的</t>
        </is>
      </c>
      <c r="C52" s="40" t="inlineStr">
        <is>
          <t>陳族元</t>
        </is>
      </c>
      <c r="D52" s="40" t="inlineStr">
        <is>
          <t>high</t>
        </is>
      </c>
      <c r="E52" s="40" t="inlineStr">
        <is>
          <t>陳族元 今日買進 9 檔新標的 (過去從沒買過)</t>
        </is>
      </c>
      <c r="F52" s="40" t="inlineStr">
        <is>
          <t>9 檔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high</t>
        </is>
      </c>
      <c r="E53" t="inlineStr">
        <is>
          <t>張濬安(航海王) 今日買進 8 檔新標的 (過去從沒買過)</t>
        </is>
      </c>
      <c r="F53" t="inlineStr">
        <is>
          <t>8 檔</t>
        </is>
      </c>
    </row>
    <row r="54">
      <c r="B54" s="40" t="inlineStr">
        <is>
          <t>🆕 新標的</t>
        </is>
      </c>
      <c r="C54" s="40" t="inlineStr">
        <is>
          <t>陳律師</t>
        </is>
      </c>
      <c r="D54" s="40" t="inlineStr">
        <is>
          <t>high</t>
        </is>
      </c>
      <c r="E54" s="40" t="inlineStr">
        <is>
          <t>陳律師 今日買進 8 檔新標的 (過去從沒買過)</t>
        </is>
      </c>
      <c r="F54" s="40" t="inlineStr">
        <is>
          <t>8 檔</t>
        </is>
      </c>
    </row>
    <row r="55">
      <c r="B55" t="inlineStr">
        <is>
          <t>🆕 新標的</t>
        </is>
      </c>
      <c r="C55" t="inlineStr">
        <is>
          <t>林滄海</t>
        </is>
      </c>
      <c r="D55" t="inlineStr">
        <is>
          <t>high</t>
        </is>
      </c>
      <c r="E55" t="inlineStr">
        <is>
          <t>林滄海 今日買進 7 檔新標的 (過去從沒買過)</t>
        </is>
      </c>
      <c r="F55" t="inlineStr">
        <is>
          <t>7 檔</t>
        </is>
      </c>
    </row>
    <row r="56">
      <c r="B56" s="40" t="inlineStr">
        <is>
          <t>🆕 新標的</t>
        </is>
      </c>
      <c r="C56" s="40" t="inlineStr">
        <is>
          <t>大牌分析師</t>
        </is>
      </c>
      <c r="D56" s="40" t="inlineStr">
        <is>
          <t>high</t>
        </is>
      </c>
      <c r="E56" s="40" t="inlineStr">
        <is>
          <t>大牌分析師 今日買進 6 檔新標的 (過去從沒買過)</t>
        </is>
      </c>
      <c r="F56" s="40" t="inlineStr">
        <is>
          <t>6 檔</t>
        </is>
      </c>
    </row>
    <row r="57">
      <c r="B57" t="inlineStr">
        <is>
          <t>🆕 新標的</t>
        </is>
      </c>
      <c r="C57" t="inlineStr">
        <is>
          <t>巨人傑</t>
        </is>
      </c>
      <c r="D57" t="inlineStr">
        <is>
          <t>high</t>
        </is>
      </c>
      <c r="E57" t="inlineStr">
        <is>
          <t>巨人傑 今日買進 6 檔新標的 (過去從沒買過)</t>
        </is>
      </c>
      <c r="F57" t="inlineStr">
        <is>
          <t>6 檔</t>
        </is>
      </c>
    </row>
    <row r="58">
      <c r="B58" s="40" t="inlineStr">
        <is>
          <t>🆕 新標的</t>
        </is>
      </c>
      <c r="C58" s="40" t="inlineStr">
        <is>
          <t>強森</t>
        </is>
      </c>
      <c r="D58" s="40" t="inlineStr">
        <is>
          <t>high</t>
        </is>
      </c>
      <c r="E58" s="40" t="inlineStr">
        <is>
          <t>強森 今日買進 6 檔新標的 (過去從沒買過)</t>
        </is>
      </c>
      <c r="F58" s="40" t="inlineStr">
        <is>
          <t>6 檔</t>
        </is>
      </c>
    </row>
    <row r="59">
      <c r="B59" s="41" t="inlineStr">
        <is>
          <t>… 另 3 筆 anomaly (詳見當日 sheet)</t>
        </is>
      </c>
      <c r="C59" s="42" t="n"/>
      <c r="D59" s="42" t="n"/>
      <c r="E59" s="42" t="n"/>
      <c r="F59" s="42" t="n"/>
    </row>
    <row r="61" ht="22" customHeight="1">
      <c r="B61" s="43" t="inlineStr">
        <is>
          <t>▍ F. 跨日連續囤貨 Top 30 (按連續天數排序)</t>
        </is>
      </c>
    </row>
    <row r="62">
      <c r="B62" s="44" t="inlineStr">
        <is>
          <t>Master</t>
        </is>
      </c>
      <c r="C62" s="44" t="inlineStr">
        <is>
          <t>股票代號</t>
        </is>
      </c>
      <c r="D62" s="44" t="inlineStr">
        <is>
          <t>連續天數</t>
        </is>
      </c>
      <c r="E62" s="44" t="inlineStr">
        <is>
          <t>累計買金額(萬)</t>
        </is>
      </c>
      <c r="F62" s="44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5" t="n">
        <v>35</v>
      </c>
      <c r="E63" t="n">
        <v>229441</v>
      </c>
      <c r="F63" t="inlineStr">
        <is>
          <t>強森 連續 35 天加碼 6669 (累計 229,441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6" t="n">
        <v>32</v>
      </c>
      <c r="E64" s="40" t="n">
        <v>996714</v>
      </c>
      <c r="F64" s="40" t="inlineStr">
        <is>
          <t>張濬安(航海王) 連續 32 天加碼 3008 (累計 996,714 萬)</t>
        </is>
      </c>
    </row>
    <row r="65">
      <c r="B65" t="inlineStr">
        <is>
          <t>🔴 陳族元</t>
        </is>
      </c>
      <c r="C65" t="inlineStr">
        <is>
          <t>2454</t>
        </is>
      </c>
      <c r="D65" s="45" t="n">
        <v>31</v>
      </c>
      <c r="E65" t="n">
        <v>1153876</v>
      </c>
      <c r="F65" t="inlineStr">
        <is>
          <t>陳族元 連續 31 天加碼 2454 (累計 1,153,876 萬)</t>
        </is>
      </c>
    </row>
    <row r="66">
      <c r="B66" s="40" t="inlineStr">
        <is>
          <t>🔴 強森</t>
        </is>
      </c>
      <c r="C66" s="40" t="inlineStr">
        <is>
          <t>3481</t>
        </is>
      </c>
      <c r="D66" s="46" t="n">
        <v>28</v>
      </c>
      <c r="E66" s="40" t="n">
        <v>106360</v>
      </c>
      <c r="F66" s="40" t="inlineStr">
        <is>
          <t>強森 連續 28 天加碼 3481 (累計 106,360 萬)</t>
        </is>
      </c>
    </row>
    <row r="67">
      <c r="B67" t="inlineStr">
        <is>
          <t>🔴 陳族元</t>
        </is>
      </c>
      <c r="C67" t="inlineStr">
        <is>
          <t>2308</t>
        </is>
      </c>
      <c r="D67" s="45" t="n">
        <v>27</v>
      </c>
      <c r="E67" t="n">
        <v>995259</v>
      </c>
      <c r="F67" t="inlineStr">
        <is>
          <t>陳族元 連續 27 天加碼 2308 (累計 995,259 萬)</t>
        </is>
      </c>
    </row>
    <row r="68">
      <c r="B68" s="40" t="inlineStr">
        <is>
          <t>🔴 張濬安(航海王)</t>
        </is>
      </c>
      <c r="C68" s="40" t="inlineStr">
        <is>
          <t>2303</t>
        </is>
      </c>
      <c r="D68" s="46" t="n">
        <v>23</v>
      </c>
      <c r="E68" s="40" t="n">
        <v>1233450</v>
      </c>
      <c r="F68" s="40" t="inlineStr">
        <is>
          <t>張濬安(航海王) 連續 23 天加碼 2303 (累計 1,233,450 萬)</t>
        </is>
      </c>
    </row>
    <row r="70" ht="22" customHeight="1">
      <c r="B70" s="47" t="inlineStr">
        <is>
          <t>▍ J. Master × Top 3 個股 cross-table (今日)</t>
        </is>
      </c>
    </row>
    <row r="71">
      <c r="B71" s="48" t="inlineStr">
        <is>
          <t>Master</t>
        </is>
      </c>
      <c r="C71" s="48" t="inlineStr">
        <is>
          <t>今日總買(萬)</t>
        </is>
      </c>
      <c r="D71" s="48" t="inlineStr">
        <is>
          <t>Top1 個股</t>
        </is>
      </c>
      <c r="E71" s="48" t="inlineStr">
        <is>
          <t>Top1 金額</t>
        </is>
      </c>
      <c r="F71" s="48" t="inlineStr">
        <is>
          <t>Top2 個股</t>
        </is>
      </c>
      <c r="G71" s="48" t="inlineStr">
        <is>
          <t>Top2 金額</t>
        </is>
      </c>
      <c r="H71" s="48" t="inlineStr">
        <is>
          <t>Top3 個股</t>
        </is>
      </c>
      <c r="I71" s="48" t="inlineStr">
        <is>
          <t>Top3 金額</t>
        </is>
      </c>
      <c r="J71" s="48" t="inlineStr">
        <is>
          <t>Top3 合計%</t>
        </is>
      </c>
    </row>
    <row r="72">
      <c r="B72" s="32" t="inlineStr">
        <is>
          <t>張濬安(航海王)</t>
        </is>
      </c>
      <c r="C72" s="33" t="n">
        <v>1057714</v>
      </c>
      <c r="D72" t="inlineStr">
        <is>
          <t>金像電(2368)</t>
        </is>
      </c>
      <c r="E72" s="33" t="n">
        <v>106249</v>
      </c>
      <c r="F72" t="inlineStr">
        <is>
          <t>高力(8996)</t>
        </is>
      </c>
      <c r="G72" s="33" t="n">
        <v>68896</v>
      </c>
      <c r="H72" t="inlineStr">
        <is>
          <t>環球晶(6488)</t>
        </is>
      </c>
      <c r="I72" s="33" t="n">
        <v>59458</v>
      </c>
      <c r="J72" s="216" t="n">
        <v>0.2218012516610106</v>
      </c>
    </row>
    <row r="73">
      <c r="B73" s="35" t="inlineStr">
        <is>
          <t>陳族元</t>
        </is>
      </c>
      <c r="C73" s="33" t="n">
        <v>978498</v>
      </c>
      <c r="D73" t="inlineStr">
        <is>
          <t>台積電(2330)</t>
        </is>
      </c>
      <c r="E73" s="33" t="n">
        <v>121186</v>
      </c>
      <c r="F73" t="inlineStr">
        <is>
          <t>台達電(2308)</t>
        </is>
      </c>
      <c r="G73" s="33" t="n">
        <v>94980</v>
      </c>
      <c r="H73" t="inlineStr">
        <is>
          <t>環球晶(6488)</t>
        </is>
      </c>
      <c r="I73" s="33" t="n">
        <v>59353</v>
      </c>
      <c r="J73" s="216" t="n">
        <v>0.2815738573965113</v>
      </c>
    </row>
    <row r="74">
      <c r="B74" s="36" t="inlineStr">
        <is>
          <t>陳律師</t>
        </is>
      </c>
      <c r="C74" s="33" t="n">
        <v>317457</v>
      </c>
      <c r="D74" t="inlineStr">
        <is>
          <t>貿聯-KY(3665)</t>
        </is>
      </c>
      <c r="E74" s="33" t="n">
        <v>44933</v>
      </c>
      <c r="F74" t="inlineStr">
        <is>
          <t>欣銓(3264)</t>
        </is>
      </c>
      <c r="G74" s="33" t="n">
        <v>32051</v>
      </c>
      <c r="H74" t="inlineStr">
        <is>
          <t>晶技(3042)</t>
        </is>
      </c>
      <c r="I74" s="33" t="n">
        <v>31776</v>
      </c>
      <c r="J74" s="216" t="n">
        <v>0.3425999018448506</v>
      </c>
    </row>
    <row r="75">
      <c r="B75" s="37" t="inlineStr">
        <is>
          <t>林滄海</t>
        </is>
      </c>
      <c r="C75" s="33" t="n">
        <v>305694</v>
      </c>
      <c r="D75" t="inlineStr">
        <is>
          <t>環球晶(6488)</t>
        </is>
      </c>
      <c r="E75" s="33" t="n">
        <v>17935</v>
      </c>
      <c r="F75" t="inlineStr">
        <is>
          <t>奇鋐(3017)</t>
        </is>
      </c>
      <c r="G75" s="33" t="n">
        <v>15941</v>
      </c>
      <c r="H75" t="inlineStr">
        <is>
          <t>景碩(3189)</t>
        </is>
      </c>
      <c r="I75" s="33" t="n">
        <v>12375</v>
      </c>
      <c r="J75" s="216" t="n">
        <v>0.1512992890605347</v>
      </c>
    </row>
    <row r="76">
      <c r="B76" s="52" t="inlineStr">
        <is>
          <t>強森</t>
        </is>
      </c>
      <c r="C76" s="33" t="n">
        <v>274393</v>
      </c>
      <c r="D76" t="inlineStr">
        <is>
          <t>京元電子(2449)</t>
        </is>
      </c>
      <c r="E76" s="33" t="n">
        <v>24336</v>
      </c>
      <c r="F76" t="inlineStr">
        <is>
          <t>大立光(3008)</t>
        </is>
      </c>
      <c r="G76" s="33" t="n">
        <v>19011</v>
      </c>
      <c r="H76" t="inlineStr">
        <is>
          <t>友達(2409)</t>
        </is>
      </c>
      <c r="I76" s="33" t="n">
        <v>15400</v>
      </c>
      <c r="J76" s="216" t="n">
        <v>0.2140938623843448</v>
      </c>
    </row>
    <row r="77">
      <c r="B77" s="38" t="inlineStr">
        <is>
          <t>蔣承翰</t>
        </is>
      </c>
      <c r="C77" s="33" t="n">
        <v>222902</v>
      </c>
      <c r="D77" t="inlineStr">
        <is>
          <t>金像電(2368)</t>
        </is>
      </c>
      <c r="E77" s="33" t="n">
        <v>53614</v>
      </c>
      <c r="F77" t="inlineStr">
        <is>
          <t>欣興(3037)</t>
        </is>
      </c>
      <c r="G77" s="33" t="n">
        <v>17256</v>
      </c>
      <c r="H77" t="inlineStr">
        <is>
          <t>臻鼎-KY(4958)</t>
        </is>
      </c>
      <c r="I77" s="33" t="n">
        <v>8088</v>
      </c>
      <c r="J77" s="216" t="n">
        <v>0.3542300074248042</v>
      </c>
    </row>
    <row r="78">
      <c r="B78" s="53" t="inlineStr">
        <is>
          <t>竹科主力分點</t>
        </is>
      </c>
      <c r="C78" s="33" t="n">
        <v>155163</v>
      </c>
      <c r="D78" t="inlineStr">
        <is>
          <t>和益(1709)</t>
        </is>
      </c>
      <c r="E78" s="33" t="n">
        <v>16669</v>
      </c>
      <c r="F78" t="inlineStr">
        <is>
          <t>聯發科(2454)</t>
        </is>
      </c>
      <c r="G78" s="33" t="n">
        <v>13624</v>
      </c>
      <c r="H78" t="inlineStr">
        <is>
          <t>友達(2409)</t>
        </is>
      </c>
      <c r="I78" s="33" t="n">
        <v>9206</v>
      </c>
      <c r="J78" s="216" t="n">
        <v>0.2545637461484077</v>
      </c>
    </row>
    <row r="79">
      <c r="B79" s="54" t="inlineStr">
        <is>
          <t>民哥</t>
        </is>
      </c>
      <c r="C79" s="33" t="n">
        <v>86975</v>
      </c>
      <c r="D79" t="inlineStr">
        <is>
          <t>大立光(3008)</t>
        </is>
      </c>
      <c r="E79" s="33" t="n">
        <v>10824</v>
      </c>
      <c r="F79" t="inlineStr">
        <is>
          <t>聯亞(3081)</t>
        </is>
      </c>
      <c r="G79" s="33" t="n">
        <v>6705</v>
      </c>
      <c r="H79" t="inlineStr">
        <is>
          <t>友達(2409)</t>
        </is>
      </c>
      <c r="I79" s="33" t="n">
        <v>4997</v>
      </c>
      <c r="J79" s="216" t="n">
        <v>0.2589933682245054</v>
      </c>
    </row>
    <row r="80">
      <c r="B80" s="50" t="inlineStr">
        <is>
          <t>巨人傑</t>
        </is>
      </c>
      <c r="C80" s="33" t="n">
        <v>80957</v>
      </c>
      <c r="D80" t="inlineStr">
        <is>
          <t>信驊(5274)</t>
        </is>
      </c>
      <c r="E80" s="33" t="n">
        <v>6695</v>
      </c>
      <c r="F80" t="inlineStr">
        <is>
          <t>台燿(6274)</t>
        </is>
      </c>
      <c r="G80" s="33" t="n">
        <v>5395</v>
      </c>
      <c r="H80" t="inlineStr">
        <is>
          <t>強茂(2481)</t>
        </is>
      </c>
      <c r="I80" s="33" t="n">
        <v>5241</v>
      </c>
      <c r="J80" s="216" t="n">
        <v>0.2140733448373402</v>
      </c>
    </row>
    <row r="81">
      <c r="B81" s="56" t="inlineStr">
        <is>
          <t>大牌分析師</t>
        </is>
      </c>
      <c r="C81" s="33" t="n">
        <v>67805</v>
      </c>
      <c r="D81" t="inlineStr">
        <is>
          <t>聯發科(2454)</t>
        </is>
      </c>
      <c r="E81" s="33" t="n">
        <v>7285</v>
      </c>
      <c r="F81" t="inlineStr">
        <is>
          <t>環球晶(6488)</t>
        </is>
      </c>
      <c r="G81" s="33" t="n">
        <v>5860</v>
      </c>
      <c r="H81" t="inlineStr">
        <is>
          <t>旺矽(6223)</t>
        </is>
      </c>
      <c r="I81" s="33" t="n">
        <v>5601</v>
      </c>
      <c r="J81" s="216" t="n">
        <v>0.2764714210709503</v>
      </c>
    </row>
    <row r="82">
      <c r="B82" s="55" t="inlineStr">
        <is>
          <t>布哥/n_nchang</t>
        </is>
      </c>
      <c r="C82" s="33" t="n">
        <v>57125</v>
      </c>
      <c r="D82" t="inlineStr">
        <is>
          <t>環球晶(6488)</t>
        </is>
      </c>
      <c r="E82" s="33" t="n">
        <v>6838</v>
      </c>
      <c r="F82" t="inlineStr">
        <is>
          <t>國巨*(2327)</t>
        </is>
      </c>
      <c r="G82" s="33" t="n">
        <v>5173</v>
      </c>
      <c r="H82" t="inlineStr">
        <is>
          <t>聯發科(2454)</t>
        </is>
      </c>
      <c r="I82" s="33" t="n">
        <v>4240</v>
      </c>
      <c r="J82" s="216" t="n">
        <v>0.2844839055268078</v>
      </c>
    </row>
    <row r="83">
      <c r="B83" s="57" t="inlineStr">
        <is>
          <t>Tradow</t>
        </is>
      </c>
      <c r="C83" s="33" t="n">
        <v>42658</v>
      </c>
      <c r="D83" t="inlineStr">
        <is>
          <t>昇達科(3491)</t>
        </is>
      </c>
      <c r="E83" s="33" t="n">
        <v>4063</v>
      </c>
      <c r="F83" t="inlineStr">
        <is>
          <t>友達(2409)</t>
        </is>
      </c>
      <c r="G83" s="33" t="n">
        <v>3406</v>
      </c>
      <c r="H83" t="inlineStr">
        <is>
          <t>旺矽(6223)</t>
        </is>
      </c>
      <c r="I83" s="33" t="n">
        <v>2738</v>
      </c>
      <c r="J83" s="216" t="n">
        <v>0.2393008514309291</v>
      </c>
    </row>
    <row r="84">
      <c r="B84" s="58" t="inlineStr">
        <is>
          <t>迷你哥/松山哥</t>
        </is>
      </c>
      <c r="C84" s="33" t="n">
        <v>25892</v>
      </c>
      <c r="D84" t="inlineStr">
        <is>
          <t>台塑(1301)</t>
        </is>
      </c>
      <c r="E84" s="33" t="n">
        <v>2523</v>
      </c>
      <c r="F84" t="inlineStr">
        <is>
          <t>環球晶(6488)</t>
        </is>
      </c>
      <c r="G84" s="33" t="n">
        <v>2325</v>
      </c>
      <c r="H84" t="inlineStr">
        <is>
          <t>臻鼎-KY(4958)</t>
        </is>
      </c>
      <c r="I84" s="33" t="n">
        <v>2205</v>
      </c>
      <c r="J84" s="216" t="n">
        <v>0.2723866906127493</v>
      </c>
    </row>
    <row r="86" ht="22" customHeight="1">
      <c r="B86" s="59" t="inlineStr">
        <is>
          <t>▍ G. 注意股 (資料日 20260923)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s="61" t="inlineStr">
        <is>
          <t>✅ 今日無新增注意股 (市場無異常波動標的)</t>
        </is>
      </c>
    </row>
    <row r="90" ht="22" customHeight="1">
      <c r="B90" s="4" t="inlineStr">
        <is>
          <t>▍ H. 借券賣出 Top 15 (機構級反向力量, 資料日 20260923)</t>
        </is>
      </c>
    </row>
    <row r="91">
      <c r="B91" s="12" t="inlineStr">
        <is>
          <t>代號</t>
        </is>
      </c>
      <c r="C91" s="12" t="inlineStr">
        <is>
          <t>名稱</t>
        </is>
      </c>
      <c r="D91" s="12" t="inlineStr">
        <is>
          <t>借券張數</t>
        </is>
      </c>
      <c r="E91" s="12" t="inlineStr">
        <is>
          <t>融券張數</t>
        </is>
      </c>
      <c r="F91" s="12" t="inlineStr">
        <is>
          <t>ratio</t>
        </is>
      </c>
    </row>
    <row r="92">
      <c r="B92" t="inlineStr">
        <is>
          <t>2409</t>
        </is>
      </c>
      <c r="C92" t="inlineStr">
        <is>
          <t>友達</t>
        </is>
      </c>
      <c r="D92" s="33" t="n">
        <v>15781</v>
      </c>
      <c r="E92" s="33" t="n">
        <v>1759</v>
      </c>
      <c r="F92" s="218" t="n">
        <v>8.970000000000001</v>
      </c>
    </row>
    <row r="93">
      <c r="B93" s="40" t="inlineStr">
        <is>
          <t>2887</t>
        </is>
      </c>
      <c r="C93" s="40" t="inlineStr">
        <is>
          <t>台新新光金</t>
        </is>
      </c>
      <c r="D93" s="63" t="n">
        <v>11544</v>
      </c>
      <c r="E93" s="63" t="n">
        <v>42</v>
      </c>
      <c r="F93" s="219" t="n">
        <v>274.86</v>
      </c>
    </row>
    <row r="94">
      <c r="B94" t="inlineStr">
        <is>
          <t>3481</t>
        </is>
      </c>
      <c r="C94" t="inlineStr">
        <is>
          <t>群創</t>
        </is>
      </c>
      <c r="D94" s="33" t="n">
        <v>9902</v>
      </c>
      <c r="E94" s="33" t="n">
        <v>691</v>
      </c>
      <c r="F94" s="218" t="n">
        <v>14.33</v>
      </c>
    </row>
    <row r="95">
      <c r="B95" s="40" t="inlineStr">
        <is>
          <t>2002</t>
        </is>
      </c>
      <c r="C95" s="40" t="inlineStr">
        <is>
          <t>中鋼</t>
        </is>
      </c>
      <c r="D95" s="63" t="n">
        <v>8422</v>
      </c>
      <c r="E95" s="63" t="n">
        <v>0</v>
      </c>
      <c r="F95" s="40" t="inlineStr">
        <is>
          <t>—</t>
        </is>
      </c>
    </row>
    <row r="96">
      <c r="B96" t="inlineStr">
        <is>
          <t>2884</t>
        </is>
      </c>
      <c r="C96" t="inlineStr">
        <is>
          <t>玉山金</t>
        </is>
      </c>
      <c r="D96" s="33" t="n">
        <v>8086</v>
      </c>
      <c r="E96" s="33" t="n">
        <v>16</v>
      </c>
      <c r="F96" s="218" t="n">
        <v>505.38</v>
      </c>
    </row>
    <row r="97">
      <c r="B97" s="40" t="inlineStr">
        <is>
          <t>1303</t>
        </is>
      </c>
      <c r="C97" s="40" t="inlineStr">
        <is>
          <t>南亞</t>
        </is>
      </c>
      <c r="D97" s="63" t="n">
        <v>7782</v>
      </c>
      <c r="E97" s="63" t="n">
        <v>108</v>
      </c>
      <c r="F97" s="219" t="n">
        <v>72.06</v>
      </c>
    </row>
    <row r="98">
      <c r="B98" t="inlineStr">
        <is>
          <t>4958</t>
        </is>
      </c>
      <c r="C98" t="inlineStr">
        <is>
          <t>臻鼎-KY</t>
        </is>
      </c>
      <c r="D98" s="33" t="n">
        <v>7449</v>
      </c>
      <c r="E98" s="33" t="n">
        <v>9</v>
      </c>
      <c r="F98" s="218" t="n">
        <v>827.67</v>
      </c>
    </row>
    <row r="99">
      <c r="B99" s="40" t="inlineStr">
        <is>
          <t>2303</t>
        </is>
      </c>
      <c r="C99" s="40" t="inlineStr">
        <is>
          <t>聯電</t>
        </is>
      </c>
      <c r="D99" s="63" t="n">
        <v>4953</v>
      </c>
      <c r="E99" s="63" t="n">
        <v>188</v>
      </c>
      <c r="F99" s="219" t="n">
        <v>26.35</v>
      </c>
    </row>
    <row r="100">
      <c r="B100" t="inlineStr">
        <is>
          <t>2801</t>
        </is>
      </c>
      <c r="C100" t="inlineStr">
        <is>
          <t>彰銀</t>
        </is>
      </c>
      <c r="D100" s="33" t="n">
        <v>4764</v>
      </c>
      <c r="E100" s="33" t="n">
        <v>0</v>
      </c>
      <c r="F100" t="inlineStr">
        <is>
          <t>—</t>
        </is>
      </c>
    </row>
    <row r="101">
      <c r="B101" s="40" t="inlineStr">
        <is>
          <t>2344</t>
        </is>
      </c>
      <c r="C101" s="40" t="inlineStr">
        <is>
          <t>華邦電</t>
        </is>
      </c>
      <c r="D101" s="63" t="n">
        <v>4135</v>
      </c>
      <c r="E101" s="63" t="n">
        <v>165</v>
      </c>
      <c r="F101" s="219" t="n">
        <v>25.06</v>
      </c>
    </row>
    <row r="102">
      <c r="B102" s="45" t="inlineStr">
        <is>
          <t>🔴 0056</t>
        </is>
      </c>
      <c r="C102" t="inlineStr">
        <is>
          <t>元大高股息</t>
        </is>
      </c>
      <c r="D102" s="33" t="n">
        <v>4075</v>
      </c>
      <c r="E102" s="33" t="n">
        <v>1</v>
      </c>
      <c r="F102" s="246" t="n">
        <v>4075</v>
      </c>
    </row>
    <row r="103">
      <c r="B103" s="40" t="inlineStr">
        <is>
          <t>2891</t>
        </is>
      </c>
      <c r="C103" s="40" t="inlineStr">
        <is>
          <t>中信金</t>
        </is>
      </c>
      <c r="D103" s="63" t="n">
        <v>3906</v>
      </c>
      <c r="E103" s="63" t="n">
        <v>16</v>
      </c>
      <c r="F103" s="219" t="n">
        <v>244.12</v>
      </c>
    </row>
    <row r="104">
      <c r="B104" t="inlineStr">
        <is>
          <t>2892</t>
        </is>
      </c>
      <c r="C104" t="inlineStr">
        <is>
          <t>第一金</t>
        </is>
      </c>
      <c r="D104" s="33" t="n">
        <v>3557</v>
      </c>
      <c r="E104" s="33" t="n">
        <v>0</v>
      </c>
      <c r="F104" t="inlineStr">
        <is>
          <t>—</t>
        </is>
      </c>
    </row>
    <row r="105">
      <c r="B105" s="46" t="inlineStr">
        <is>
          <t>🔴 4763</t>
        </is>
      </c>
      <c r="C105" s="40" t="inlineStr">
        <is>
          <t>材料*-KY</t>
        </is>
      </c>
      <c r="D105" s="63" t="n">
        <v>2720</v>
      </c>
      <c r="E105" s="63" t="n">
        <v>1</v>
      </c>
      <c r="F105" s="220" t="n">
        <v>2720</v>
      </c>
    </row>
    <row r="106">
      <c r="B106" s="45" t="inlineStr">
        <is>
          <t>🔴 2881</t>
        </is>
      </c>
      <c r="C106" t="inlineStr">
        <is>
          <t>富邦金</t>
        </is>
      </c>
      <c r="D106" s="33" t="n">
        <v>2460</v>
      </c>
      <c r="E106" s="33" t="n">
        <v>2</v>
      </c>
      <c r="F106" s="246" t="n">
        <v>1230</v>
      </c>
    </row>
    <row r="108" ht="22" customHeight="1">
      <c r="B108" s="65" t="inlineStr">
        <is>
          <t>▍ I. 未來 30 天除權息 (有效 26 檔, 已剔除過期)</t>
        </is>
      </c>
    </row>
    <row r="109">
      <c r="B109" s="60" t="inlineStr">
        <is>
          <t>除權息日</t>
        </is>
      </c>
      <c r="C109" s="60" t="inlineStr">
        <is>
          <t>代號</t>
        </is>
      </c>
      <c r="D109" s="60" t="inlineStr">
        <is>
          <t>名稱</t>
        </is>
      </c>
      <c r="E109" s="60" t="inlineStr">
        <is>
          <t>類型</t>
        </is>
      </c>
      <c r="F109" s="60" t="inlineStr">
        <is>
          <t>現金股利</t>
        </is>
      </c>
    </row>
    <row r="110">
      <c r="B110" t="inlineStr">
        <is>
          <t>20260923</t>
        </is>
      </c>
      <c r="C110" t="inlineStr">
        <is>
          <t>00930</t>
        </is>
      </c>
      <c r="D110" t="inlineStr">
        <is>
          <t>永豐ESG低碳高息</t>
        </is>
      </c>
      <c r="E110" t="inlineStr">
        <is>
          <t>息</t>
        </is>
      </c>
      <c r="F110" t="n">
        <v>0.8149999999999999</v>
      </c>
    </row>
    <row r="111">
      <c r="B111" s="40" t="inlineStr">
        <is>
          <t>20260923</t>
        </is>
      </c>
      <c r="C111" s="40" t="inlineStr">
        <is>
          <t>1442</t>
        </is>
      </c>
      <c r="D111" s="40" t="inlineStr">
        <is>
          <t>名軒</t>
        </is>
      </c>
      <c r="E111" s="40" t="inlineStr">
        <is>
          <t>息</t>
        </is>
      </c>
      <c r="F111" s="40" t="n">
        <v>2.4</v>
      </c>
    </row>
    <row r="112">
      <c r="B112" t="inlineStr">
        <is>
          <t>20260923</t>
        </is>
      </c>
      <c r="C112" t="inlineStr">
        <is>
          <t>1808</t>
        </is>
      </c>
      <c r="D112" t="inlineStr">
        <is>
          <t>潤隆</t>
        </is>
      </c>
      <c r="E112" t="inlineStr">
        <is>
          <t>息</t>
        </is>
      </c>
      <c r="F112" t="n">
        <v>1.5</v>
      </c>
    </row>
    <row r="113">
      <c r="B113" s="40" t="inlineStr">
        <is>
          <t>20260923</t>
        </is>
      </c>
      <c r="C113" s="40" t="inlineStr">
        <is>
          <t>2542</t>
        </is>
      </c>
      <c r="D113" s="40" t="inlineStr">
        <is>
          <t>興富發</t>
        </is>
      </c>
      <c r="E113" s="40" t="inlineStr">
        <is>
          <t>息</t>
        </is>
      </c>
      <c r="F113" s="40" t="n">
        <v>4</v>
      </c>
    </row>
    <row r="114">
      <c r="B114" t="inlineStr">
        <is>
          <t>20260923</t>
        </is>
      </c>
      <c r="C114" t="inlineStr">
        <is>
          <t>5258</t>
        </is>
      </c>
      <c r="D114" t="inlineStr">
        <is>
          <t>虹堡</t>
        </is>
      </c>
      <c r="E114" t="inlineStr">
        <is>
          <t>息</t>
        </is>
      </c>
      <c r="F114" t="n">
        <v>1.007326</v>
      </c>
    </row>
    <row r="115">
      <c r="B115" s="40" t="inlineStr">
        <is>
          <t>20260924</t>
        </is>
      </c>
      <c r="C115" s="40" t="inlineStr">
        <is>
          <t>1235</t>
        </is>
      </c>
      <c r="D115" s="40" t="inlineStr">
        <is>
          <t>興泰</t>
        </is>
      </c>
      <c r="E115" s="40" t="inlineStr">
        <is>
          <t>權息</t>
        </is>
      </c>
      <c r="F115" s="40" t="n">
        <v>0.5</v>
      </c>
    </row>
    <row r="116">
      <c r="B116" t="inlineStr">
        <is>
          <t>20260929</t>
        </is>
      </c>
      <c r="C116" t="inlineStr">
        <is>
          <t>2109</t>
        </is>
      </c>
      <c r="D116" t="inlineStr">
        <is>
          <t>華豐</t>
        </is>
      </c>
      <c r="E116" t="inlineStr">
        <is>
          <t>息</t>
        </is>
      </c>
      <c r="F116" t="n">
        <v>0.5</v>
      </c>
    </row>
    <row r="117">
      <c r="B117" s="40" t="inlineStr">
        <is>
          <t>20260929</t>
        </is>
      </c>
      <c r="C117" s="40" t="inlineStr">
        <is>
          <t>7631</t>
        </is>
      </c>
      <c r="D117" s="40" t="inlineStr">
        <is>
          <t>聚賢研發-創</t>
        </is>
      </c>
      <c r="E117" s="40" t="inlineStr">
        <is>
          <t>息</t>
        </is>
      </c>
      <c r="F117" s="40" t="n">
        <v>0.8</v>
      </c>
    </row>
    <row r="118">
      <c r="B118" t="inlineStr">
        <is>
          <t>20260930</t>
        </is>
      </c>
      <c r="C118" t="inlineStr">
        <is>
          <t>01004T</t>
        </is>
      </c>
      <c r="D118" t="inlineStr">
        <is>
          <t>土銀富邦R2</t>
        </is>
      </c>
      <c r="E118" t="inlineStr">
        <is>
          <t>息</t>
        </is>
      </c>
      <c r="F118" t="n">
        <v>0.221074</v>
      </c>
    </row>
    <row r="119">
      <c r="B119" s="40" t="inlineStr">
        <is>
          <t>20261001</t>
        </is>
      </c>
      <c r="C119" s="40" t="inlineStr">
        <is>
          <t>2323</t>
        </is>
      </c>
      <c r="D119" s="40" t="inlineStr">
        <is>
          <t>中環</t>
        </is>
      </c>
      <c r="E119" s="40" t="inlineStr">
        <is>
          <t>息</t>
        </is>
      </c>
      <c r="F119" s="40" t="n">
        <v>0.2</v>
      </c>
    </row>
    <row r="120">
      <c r="B120" t="inlineStr">
        <is>
          <t>20261001</t>
        </is>
      </c>
      <c r="C120" t="inlineStr">
        <is>
          <t>9927</t>
        </is>
      </c>
      <c r="D120" t="inlineStr">
        <is>
          <t>泰銘</t>
        </is>
      </c>
      <c r="E120" t="inlineStr">
        <is>
          <t>息</t>
        </is>
      </c>
      <c r="F120" t="n">
        <v>5</v>
      </c>
    </row>
    <row r="121">
      <c r="B121" s="40" t="inlineStr">
        <is>
          <t>20261002</t>
        </is>
      </c>
      <c r="C121" s="40" t="inlineStr">
        <is>
          <t>6834</t>
        </is>
      </c>
      <c r="D121" s="40" t="inlineStr">
        <is>
          <t>天二科技</t>
        </is>
      </c>
      <c r="E121" s="40" t="inlineStr">
        <is>
          <t>權</t>
        </is>
      </c>
      <c r="F121" s="40" t="n">
        <v>0</v>
      </c>
    </row>
    <row r="122">
      <c r="B122" t="inlineStr">
        <is>
          <t>20261005</t>
        </is>
      </c>
      <c r="C122" t="inlineStr">
        <is>
          <t>00406A</t>
        </is>
      </c>
      <c r="D122" t="inlineStr">
        <is>
          <t>主動中信台灣收益</t>
        </is>
      </c>
      <c r="E122" t="inlineStr">
        <is>
          <t>息</t>
        </is>
      </c>
    </row>
    <row r="123">
      <c r="B123" s="40" t="inlineStr">
        <is>
          <t>20261005</t>
        </is>
      </c>
      <c r="C123" s="40" t="inlineStr">
        <is>
          <t>00939</t>
        </is>
      </c>
      <c r="D123" s="40" t="inlineStr">
        <is>
          <t>統一台灣高息動能</t>
        </is>
      </c>
      <c r="E123" s="40" t="inlineStr">
        <is>
          <t>息</t>
        </is>
      </c>
      <c r="F123" s="40" t="n"/>
    </row>
    <row r="124">
      <c r="B124" t="inlineStr">
        <is>
          <t>20261005</t>
        </is>
      </c>
      <c r="C124" t="inlineStr">
        <is>
          <t>00984D</t>
        </is>
      </c>
      <c r="D124" t="inlineStr">
        <is>
          <t>主動聯博全球非投</t>
        </is>
      </c>
      <c r="E124" t="inlineStr">
        <is>
          <t>息</t>
        </is>
      </c>
    </row>
  </sheetData>
  <mergeCells count="29">
    <mergeCell ref="C34:D34"/>
    <mergeCell ref="B9:N9"/>
    <mergeCell ref="C33:D33"/>
    <mergeCell ref="B61:J61"/>
    <mergeCell ref="B59:F59"/>
    <mergeCell ref="G34:I34"/>
    <mergeCell ref="G33:I33"/>
    <mergeCell ref="B36:N36"/>
    <mergeCell ref="B35:N35"/>
    <mergeCell ref="B4:N4"/>
    <mergeCell ref="B108:J108"/>
    <mergeCell ref="B7:N7"/>
    <mergeCell ref="B3:N3"/>
    <mergeCell ref="B6:J6"/>
    <mergeCell ref="B88:F88"/>
    <mergeCell ref="B86:J86"/>
    <mergeCell ref="B32:J32"/>
    <mergeCell ref="B12:N12"/>
    <mergeCell ref="B11:N11"/>
    <mergeCell ref="B2:N2"/>
    <mergeCell ref="B47:J47"/>
    <mergeCell ref="B14:N14"/>
    <mergeCell ref="B90:J90"/>
    <mergeCell ref="B8:N8"/>
    <mergeCell ref="B38:E38"/>
    <mergeCell ref="B13:N13"/>
    <mergeCell ref="F38:I38"/>
    <mergeCell ref="B70:J70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6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2:F106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2026/09/23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63.1%</t>
        </is>
      </c>
    </row>
    <row r="7">
      <c r="C7" s="67" t="inlineStr">
        <is>
          <t>🎯 強共識買超 Top 5</t>
        </is>
      </c>
    </row>
    <row r="8">
      <c r="C8" s="69" t="inlineStr">
        <is>
          <t>① 環球晶 (6488) · 12 大戶</t>
        </is>
      </c>
    </row>
    <row r="9">
      <c r="C9" s="69" t="inlineStr">
        <is>
          <t>② 聯發科 (2454) · 11 大戶</t>
        </is>
      </c>
    </row>
    <row r="10">
      <c r="C10" s="69" t="inlineStr">
        <is>
          <t>③ 國巨* (2327) · 12 大戶</t>
        </is>
      </c>
    </row>
    <row r="11">
      <c r="C11" s="69" t="inlineStr">
        <is>
          <t>④ 京元電子 (2449) · 12 大戶</t>
        </is>
      </c>
    </row>
    <row r="12">
      <c r="C12" s="69" t="inlineStr">
        <is>
          <t>⑤ 欣銓 (3264)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7 檔 (47%)</t>
        </is>
      </c>
    </row>
    <row r="16">
      <c r="C16" s="69" t="inlineStr">
        <is>
          <t>電子零組件業 · 2 檔 (13%)</t>
        </is>
      </c>
    </row>
    <row r="17">
      <c r="C17" s="69" t="inlineStr">
        <is>
          <t>光電業 · 2 檔 (13%)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7,285 萬 (★共識)</t>
        </is>
      </c>
    </row>
    <row r="21">
      <c r="C21" s="69" t="inlineStr">
        <is>
          <t>環球晶 (6488) · 5,860 萬 (★共識)</t>
        </is>
      </c>
    </row>
    <row r="22">
      <c r="C22" s="69" t="inlineStr">
        <is>
          <t>旺矽 (6223) · 5,601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環球晶 (6488) · 12 大戶</t>
        </is>
      </c>
    </row>
    <row r="27">
      <c r="C27" s="72" t="inlineStr">
        <is>
          <t>⚠️ 國巨* (2327) · 12 大戶</t>
        </is>
      </c>
    </row>
    <row r="28">
      <c r="C28" s="72" t="inlineStr">
        <is>
          <t>⚠️ 京元電子 (2449) · 12 大戶</t>
        </is>
      </c>
    </row>
    <row r="29">
      <c r="C29" s="72" t="inlineStr">
        <is>
          <t>⚠️ 臻鼎-KY (4958) · 12 大戶</t>
        </is>
      </c>
    </row>
    <row r="30">
      <c r="C30" s="72" t="inlineStr">
        <is>
          <t>⚠️ 精材 (3374) · 11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5 檔 (00930 / 1442 / 1808 ...)</t>
        </is>
      </c>
    </row>
    <row r="34">
      <c r="C34" s="69" t="inlineStr">
        <is>
          <t>明日恐處置 3 檔 (3625 / 4304 / 4971)</t>
        </is>
      </c>
    </row>
    <row r="36">
      <c r="C36" s="67" t="inlineStr">
        <is>
          <t>📊 追蹤池方向</t>
        </is>
      </c>
    </row>
    <row r="37" ht="22" customHeight="1">
      <c r="C37" s="73" t="inlineStr">
        <is>
          <t>-109 億 淨買</t>
        </is>
      </c>
    </row>
    <row r="38">
      <c r="C38" s="71" t="inlineStr">
        <is>
          <t>比昨 -26 擴空 / 比 5d -58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16/38 = 42.1%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39/39 交易日出手 1872 次 (423 檔), 風格分布: 隔日沖近似 36% / 當沖 14% / 留倉 50%, 漲停命中 2% (其中 🔒鎖漲停 3%), 前 5 大集中 17%, 長線部位 31% (23 檔), ⚠️ 處置股部位 6% (15 檔), 📦 連續囤貨 40 檔 (最長 16 天 00918,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7285</v>
      </c>
      <c r="F12" s="33" t="n">
        <v>0</v>
      </c>
      <c r="G12" s="215" t="n">
        <v>0.001</v>
      </c>
    </row>
    <row r="13">
      <c r="B13" t="n">
        <v>2</v>
      </c>
      <c r="C13" t="inlineStr">
        <is>
          <t>6488</t>
        </is>
      </c>
      <c r="D13" t="inlineStr">
        <is>
          <t>環球晶</t>
        </is>
      </c>
      <c r="E13" s="33" t="n">
        <v>5860</v>
      </c>
      <c r="F13" s="33" t="n">
        <v>0</v>
      </c>
      <c r="G13" s="233" t="n">
        <v>-0.0216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5601</v>
      </c>
      <c r="F14" s="33" t="n">
        <v>0</v>
      </c>
      <c r="G14" s="215" t="n">
        <v>0.05139999999999999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5452</v>
      </c>
      <c r="F15" s="33" t="n">
        <v>0</v>
      </c>
      <c r="G15" s="233" t="n">
        <v>-0.0532</v>
      </c>
    </row>
    <row r="16">
      <c r="B16" t="n">
        <v>5</v>
      </c>
      <c r="C16" t="inlineStr">
        <is>
          <t>3264</t>
        </is>
      </c>
      <c r="D16" t="inlineStr">
        <is>
          <t>欣銓</t>
        </is>
      </c>
      <c r="E16" s="33" t="n">
        <v>4865</v>
      </c>
      <c r="F16" s="33" t="n">
        <v>0</v>
      </c>
      <c r="G16" s="233" t="n">
        <v>-0.0886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3578</v>
      </c>
      <c r="F17" s="33" t="n">
        <v>0</v>
      </c>
      <c r="G17" s="233" t="n">
        <v>-0.04099999999999999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3" t="n">
        <v>3380</v>
      </c>
      <c r="F18" s="33" t="n">
        <v>0</v>
      </c>
      <c r="G18" s="233" t="n">
        <v>-0.0327</v>
      </c>
    </row>
    <row r="19">
      <c r="B19" t="n">
        <v>8</v>
      </c>
      <c r="C19" t="inlineStr">
        <is>
          <t>2303</t>
        </is>
      </c>
      <c r="D19" t="inlineStr">
        <is>
          <t>聯電</t>
        </is>
      </c>
      <c r="E19" s="33" t="n">
        <v>3111</v>
      </c>
      <c r="F19" s="33" t="n">
        <v>0</v>
      </c>
      <c r="G19" s="234" t="n">
        <v>0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2971</v>
      </c>
      <c r="F20" s="33" t="n">
        <v>0</v>
      </c>
      <c r="G20" s="233" t="n">
        <v>-0.0513</v>
      </c>
    </row>
    <row r="21">
      <c r="B21" t="n">
        <v>10</v>
      </c>
      <c r="C21" t="inlineStr">
        <is>
          <t>2344</t>
        </is>
      </c>
      <c r="D21" t="inlineStr">
        <is>
          <t>華邦電</t>
        </is>
      </c>
      <c r="E21" s="33" t="n">
        <v>2587</v>
      </c>
      <c r="F21" s="33" t="n">
        <v>0</v>
      </c>
      <c r="G21" s="215" t="n">
        <v>0.008800000000000001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A45" s="124" t="n"/>
      <c r="B45" s="124" t="n"/>
      <c r="C45" s="124" t="n"/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大量(3167)</t>
        </is>
      </c>
      <c r="E120" s="129" t="n">
        <v>12</v>
      </c>
      <c r="F120" s="129" t="n">
        <v>3</v>
      </c>
      <c r="G120" s="129" t="n">
        <v>1107</v>
      </c>
      <c r="H120" s="129" t="n">
        <v>265</v>
      </c>
      <c r="I120" s="129" t="n">
        <v>842</v>
      </c>
      <c r="J120" s="130" t="n">
        <v>922.17</v>
      </c>
      <c r="K120" s="130" t="n">
        <v>884.33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環球晶(6488)</t>
        </is>
      </c>
      <c r="E190" s="136" t="n">
        <v>79</v>
      </c>
      <c r="F190" s="136" t="n">
        <v>20</v>
      </c>
      <c r="G190" s="136" t="n">
        <v>7473</v>
      </c>
      <c r="H190" s="136" t="n">
        <v>1962</v>
      </c>
      <c r="I190" s="136" t="n">
        <v>5511</v>
      </c>
      <c r="J190" s="137" t="n">
        <v>945.9400000000001</v>
      </c>
      <c r="K190" s="137" t="n">
        <v>981.05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景碩(3189)</t>
        </is>
      </c>
      <c r="E191" s="136" t="n">
        <v>49</v>
      </c>
      <c r="F191" s="136" t="n">
        <v>26</v>
      </c>
      <c r="G191" s="136" t="n">
        <v>4424</v>
      </c>
      <c r="H191" s="136" t="n">
        <v>2374</v>
      </c>
      <c r="I191" s="136" t="n">
        <v>2050</v>
      </c>
      <c r="J191" s="137" t="n">
        <v>902.88</v>
      </c>
      <c r="K191" s="137" t="n">
        <v>913.15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聯發科(2454)</t>
        </is>
      </c>
      <c r="E192" s="136" t="n">
        <v>8</v>
      </c>
      <c r="F192" s="136" t="n">
        <v>5</v>
      </c>
      <c r="G192" s="136" t="n">
        <v>4058</v>
      </c>
      <c r="H192" s="136" t="n">
        <v>2451</v>
      </c>
      <c r="I192" s="136" t="n">
        <v>1607</v>
      </c>
      <c r="J192" s="137" t="n">
        <v>5072</v>
      </c>
      <c r="K192" s="137" t="n">
        <v>4901.2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南電(8046)</t>
        </is>
      </c>
      <c r="E193" s="136" t="n">
        <v>33</v>
      </c>
      <c r="F193" s="136" t="n">
        <v>20</v>
      </c>
      <c r="G193" s="136" t="n">
        <v>4050</v>
      </c>
      <c r="H193" s="136" t="n">
        <v>2402</v>
      </c>
      <c r="I193" s="136" t="n">
        <v>1648</v>
      </c>
      <c r="J193" s="137" t="n">
        <v>1227.36</v>
      </c>
      <c r="K193" s="137" t="n">
        <v>1201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友達(2409)</t>
        </is>
      </c>
      <c r="E194" s="136" t="n">
        <v>894</v>
      </c>
      <c r="F194" s="136" t="n">
        <v>325</v>
      </c>
      <c r="G194" s="136" t="n">
        <v>3164</v>
      </c>
      <c r="H194" s="136" t="n">
        <v>1141</v>
      </c>
      <c r="I194" s="136" t="n">
        <v>2023</v>
      </c>
      <c r="J194" s="137" t="n">
        <v>35.39</v>
      </c>
      <c r="K194" s="137" t="n">
        <v>35.1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穩懋(3105)</t>
        </is>
      </c>
      <c r="E195" s="136" t="n">
        <v>53</v>
      </c>
      <c r="F195" s="136" t="n">
        <v>37</v>
      </c>
      <c r="G195" s="136" t="n">
        <v>2639</v>
      </c>
      <c r="H195" s="136" t="n">
        <v>1830</v>
      </c>
      <c r="I195" s="136" t="n">
        <v>809</v>
      </c>
      <c r="J195" s="137" t="n">
        <v>497.85</v>
      </c>
      <c r="K195" s="137" t="n">
        <v>494.54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1886</v>
      </c>
      <c r="H196" s="136" t="n">
        <v>429</v>
      </c>
      <c r="I196" s="136" t="n">
        <v>1457</v>
      </c>
      <c r="J196" s="137" t="n">
        <v>173.01</v>
      </c>
      <c r="K196" s="137" t="n">
        <v>178.58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緯穎(6669)</t>
        </is>
      </c>
      <c r="E197" s="136" t="n">
        <v>9</v>
      </c>
      <c r="F197" s="136" t="n">
        <v>5</v>
      </c>
      <c r="G197" s="136" t="n">
        <v>1822</v>
      </c>
      <c r="H197" s="136" t="n">
        <v>1054</v>
      </c>
      <c r="I197" s="136" t="n">
        <v>768</v>
      </c>
      <c r="J197" s="137" t="n">
        <v>2024.11</v>
      </c>
      <c r="K197" s="137" t="n">
        <v>2109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旺矽(6223)</t>
        </is>
      </c>
      <c r="E198" s="136" t="n">
        <v>3</v>
      </c>
      <c r="F198" s="136" t="n">
        <v>1</v>
      </c>
      <c r="G198" s="136" t="n">
        <v>1677</v>
      </c>
      <c r="H198" s="136" t="n">
        <v>616</v>
      </c>
      <c r="I198" s="136" t="n">
        <v>1061</v>
      </c>
      <c r="J198" s="137" t="n">
        <v>5590</v>
      </c>
      <c r="K198" s="137" t="n">
        <v>6157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臻鼎-KY(4958)</t>
        </is>
      </c>
      <c r="E199" s="136" t="n">
        <v>34</v>
      </c>
      <c r="F199" s="136" t="n">
        <v>19</v>
      </c>
      <c r="G199" s="136" t="n">
        <v>1620</v>
      </c>
      <c r="H199" s="136" t="n">
        <v>917</v>
      </c>
      <c r="I199" s="136" t="n">
        <v>703</v>
      </c>
      <c r="J199" s="137" t="n">
        <v>476.47</v>
      </c>
      <c r="K199" s="137" t="n">
        <v>482.47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達發(6526)</t>
        </is>
      </c>
      <c r="E216" s="143" t="n">
        <v>93</v>
      </c>
      <c r="F216" s="143" t="n">
        <v>1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17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大量(3167)</t>
        </is>
      </c>
      <c r="E339" s="163" t="n">
        <v>27</v>
      </c>
      <c r="F339" s="163" t="n">
        <v>17</v>
      </c>
      <c r="G339" s="163" t="n">
        <v>2447</v>
      </c>
      <c r="H339" s="163" t="n">
        <v>1500</v>
      </c>
      <c r="I339" s="163" t="n">
        <v>947</v>
      </c>
      <c r="J339" s="164" t="n">
        <v>906.22</v>
      </c>
      <c r="K339" s="164" t="n">
        <v>882.12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大量(3167)</t>
        </is>
      </c>
      <c r="E369" s="170" t="n">
        <v>30</v>
      </c>
      <c r="F369" s="170" t="n">
        <v>22</v>
      </c>
      <c r="G369" s="170" t="n">
        <v>2662</v>
      </c>
      <c r="H369" s="170" t="n">
        <v>1945</v>
      </c>
      <c r="I369" s="170" t="n">
        <v>717</v>
      </c>
      <c r="J369" s="171" t="n">
        <v>887.23</v>
      </c>
      <c r="K369" s="171" t="n">
        <v>883.95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A414" s="185" t="n"/>
      <c r="B414" s="185" t="n"/>
      <c r="C414" s="185" t="n"/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達發(6526)</t>
        </is>
      </c>
      <c r="E423" s="183" t="n">
        <v>21</v>
      </c>
      <c r="F423" s="183" t="n">
        <v>3</v>
      </c>
      <c r="G423" s="183" t="n">
        <v>1763</v>
      </c>
      <c r="H423" s="183" t="n">
        <v>259</v>
      </c>
      <c r="I423" s="183" t="n">
        <v>1504</v>
      </c>
      <c r="J423" s="184" t="n">
        <v>839.38</v>
      </c>
      <c r="K423" s="184" t="n">
        <v>862.67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上品(4770)</t>
        </is>
      </c>
      <c r="E424" s="183" t="n">
        <v>55</v>
      </c>
      <c r="F424" s="183" t="n">
        <v>15</v>
      </c>
      <c r="G424" s="183" t="n">
        <v>1508</v>
      </c>
      <c r="H424" s="183" t="n">
        <v>414</v>
      </c>
      <c r="I424" s="183" t="n">
        <v>1094</v>
      </c>
      <c r="J424" s="184" t="n">
        <v>274.18</v>
      </c>
      <c r="K424" s="184" t="n">
        <v>275.73</v>
      </c>
      <c r="L424" s="236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廣閎科(6693)</t>
        </is>
      </c>
      <c r="E425" s="183" t="n">
        <v>70</v>
      </c>
      <c r="F425" s="183" t="n">
        <v>1</v>
      </c>
      <c r="G425" s="183" t="n">
        <v>1303</v>
      </c>
      <c r="H425" s="183" t="n">
        <v>2</v>
      </c>
      <c r="I425" s="183" t="n">
        <v>1301</v>
      </c>
      <c r="J425" s="184" t="n">
        <v>186.2</v>
      </c>
      <c r="K425" s="184" t="n">
        <v>20</v>
      </c>
      <c r="L425" s="235">
        <f>F425*(K425-J425)</f>
        <v/>
      </c>
    </row>
    <row r="426" ht="16.5" customHeight="1">
      <c r="A426" s="185" t="n"/>
      <c r="B426" s="185" t="n"/>
      <c r="C426" s="185" t="n"/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晶豪科(3006)</t>
        </is>
      </c>
      <c r="E462" s="197" t="n">
        <v>32</v>
      </c>
      <c r="F462" s="197" t="n">
        <v>20</v>
      </c>
      <c r="G462" s="197" t="n">
        <v>885</v>
      </c>
      <c r="H462" s="197" t="n">
        <v>555</v>
      </c>
      <c r="I462" s="197" t="n">
        <v>330</v>
      </c>
      <c r="J462" s="198" t="n">
        <v>276.47</v>
      </c>
      <c r="K462" s="198" t="n">
        <v>277.55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18:50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2026-09-23T18:50:30Z</dcterms:modified>
</cp:coreProperties>
</file>