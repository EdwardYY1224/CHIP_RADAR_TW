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9" sheetId="6" state="visible" r:id="rId6"/>
    <sheet name="20260908" sheetId="7" state="visible" r:id="rId7"/>
    <sheet name="20260907" sheetId="8" state="visible" r:id="rId8"/>
    <sheet name="20260904" sheetId="9" state="visible" r:id="rId9"/>
    <sheet name="20260903" sheetId="10" state="visible" r:id="rId10"/>
    <sheet name="20260902" sheetId="11" state="visible" r:id="rId11"/>
    <sheet name="202609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6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領頭大戶「張濬安(航海王)」獨佔比 58.8%
  • 領頭金額 24,780 萬
  • 合計淨買 42,167 萬
  • 大戶數 11 位 (名義共識)
判讀: 名義 11 位大戶共識,
實質 1 人下注佔 59%,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2026/09/09 (追蹤 13 位大戶)</t>
        </is>
      </c>
    </row>
    <row r="3" ht="24" customHeight="1">
      <c r="B3" s="2" t="inlineStr">
        <is>
          <t>🎯 10 強共識 / Q5 ↑ 偏多 95% / E 10 異常 / F 7 長期 / J 0 集中 / H 4 借券壓力</t>
        </is>
      </c>
    </row>
    <row r="4" ht="22" customHeight="1">
      <c r="B4" s="3" t="inlineStr">
        <is>
          <t>💡 📌 一般共識 2330 / 3081 / 2344 (Q5 偏多但無 master 量爆 — alpha 未啟動)  |  避開 — 除權息 4 檔: 1438, 3059, 3706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46.9% = -19.0pp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(40%)  |  電子零組件業 2 (20%)  |  通信網路業 2 (20%)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22</v>
      </c>
      <c r="G16" s="16" t="inlineStr">
        <is>
          <t>陳律師</t>
        </is>
      </c>
      <c r="H16" s="17" t="n">
        <v>55630</v>
      </c>
      <c r="I16" t="inlineStr">
        <is>
          <t>陳族元</t>
        </is>
      </c>
      <c r="J16" s="18" t="n">
        <v>23542</v>
      </c>
      <c r="K16" t="inlineStr">
        <is>
          <t>張濬安</t>
        </is>
      </c>
      <c r="L16" s="18" t="n">
        <v>19232</v>
      </c>
      <c r="M16" s="19" t="n">
        <v>8</v>
      </c>
      <c r="N16" s="17" t="n">
        <v>124931</v>
      </c>
    </row>
    <row r="17">
      <c r="B17" s="13" t="n">
        <v>2</v>
      </c>
      <c r="C17" t="inlineStr">
        <is>
          <t>3081</t>
        </is>
      </c>
      <c r="D17" t="inlineStr">
        <is>
          <t>📌 聯亞</t>
        </is>
      </c>
      <c r="E17" s="14" t="n">
        <v>11</v>
      </c>
      <c r="F17" s="15" t="n">
        <v>20</v>
      </c>
      <c r="G17" s="16" t="inlineStr">
        <is>
          <t>陳律師</t>
        </is>
      </c>
      <c r="H17" s="17" t="n">
        <v>29008</v>
      </c>
      <c r="I17" t="inlineStr">
        <is>
          <t>張濬安</t>
        </is>
      </c>
      <c r="J17" s="18" t="n">
        <v>16444</v>
      </c>
      <c r="K17" t="inlineStr">
        <is>
          <t>陳族元</t>
        </is>
      </c>
      <c r="L17" s="18" t="n">
        <v>7020</v>
      </c>
      <c r="M17" s="19" t="n">
        <v>8</v>
      </c>
      <c r="N17" s="17" t="n">
        <v>62525</v>
      </c>
    </row>
    <row r="18">
      <c r="B18" s="13" t="n">
        <v>3</v>
      </c>
      <c r="C18" t="inlineStr">
        <is>
          <t>2344</t>
        </is>
      </c>
      <c r="D18" t="inlineStr">
        <is>
          <t>📌 華邦電</t>
        </is>
      </c>
      <c r="E18" s="14" t="n">
        <v>12</v>
      </c>
      <c r="F18" s="15" t="n">
        <v>30</v>
      </c>
      <c r="G18" s="16" t="inlineStr">
        <is>
          <t>張濬安</t>
        </is>
      </c>
      <c r="H18" s="17" t="n">
        <v>8514</v>
      </c>
      <c r="I18" t="inlineStr">
        <is>
          <t>民哥</t>
        </is>
      </c>
      <c r="J18" s="18" t="n">
        <v>7817</v>
      </c>
      <c r="K18" t="inlineStr">
        <is>
          <t>強森</t>
        </is>
      </c>
      <c r="L18" s="18" t="n">
        <v>7666</v>
      </c>
      <c r="M18" s="19" t="n">
        <v>9</v>
      </c>
      <c r="N18" s="17" t="n">
        <v>53108</v>
      </c>
    </row>
    <row r="19">
      <c r="B19" t="n">
        <v>4</v>
      </c>
      <c r="C19" t="inlineStr">
        <is>
          <t>2454</t>
        </is>
      </c>
      <c r="D19" s="20" t="inlineStr">
        <is>
          <t>📌 ⚠️ 聯發科</t>
        </is>
      </c>
      <c r="E19" s="14" t="n">
        <v>11</v>
      </c>
      <c r="F19" s="15" t="n">
        <v>19</v>
      </c>
      <c r="G19" s="16" t="inlineStr">
        <is>
          <t>張濬安</t>
        </is>
      </c>
      <c r="H19" s="17" t="n">
        <v>24780</v>
      </c>
      <c r="I19" t="inlineStr">
        <is>
          <t>民哥</t>
        </is>
      </c>
      <c r="J19" s="18" t="n">
        <v>4272</v>
      </c>
      <c r="K19" t="inlineStr">
        <is>
          <t>蔣承翰</t>
        </is>
      </c>
      <c r="L19" s="18" t="n">
        <v>3266</v>
      </c>
      <c r="M19" s="19" t="n">
        <v>8</v>
      </c>
      <c r="N19" s="17" t="n">
        <v>42168</v>
      </c>
    </row>
    <row r="20">
      <c r="B20" t="n">
        <v>5</v>
      </c>
      <c r="C20" t="inlineStr">
        <is>
          <t>6274</t>
        </is>
      </c>
      <c r="D20" t="inlineStr">
        <is>
          <t>台燿</t>
        </is>
      </c>
      <c r="E20" s="14" t="n">
        <v>10</v>
      </c>
      <c r="F20" s="15" t="n">
        <v>18</v>
      </c>
      <c r="G20" s="16" t="inlineStr">
        <is>
          <t>陳律師</t>
        </is>
      </c>
      <c r="H20" s="17" t="n">
        <v>13260</v>
      </c>
      <c r="I20" t="inlineStr">
        <is>
          <t>陳族元</t>
        </is>
      </c>
      <c r="J20" s="18" t="n">
        <v>4775</v>
      </c>
      <c r="K20" t="inlineStr">
        <is>
          <t>強森</t>
        </is>
      </c>
      <c r="L20" s="18" t="n">
        <v>4162</v>
      </c>
      <c r="M20" s="19" t="n">
        <v>7</v>
      </c>
      <c r="N20" s="17" t="n">
        <v>31945</v>
      </c>
    </row>
    <row r="21">
      <c r="B21" t="n">
        <v>6</v>
      </c>
      <c r="C21" t="inlineStr">
        <is>
          <t>3661</t>
        </is>
      </c>
      <c r="D21" t="inlineStr">
        <is>
          <t>📌 世芯-KY</t>
        </is>
      </c>
      <c r="E21" s="14" t="n">
        <v>11</v>
      </c>
      <c r="F21" s="15" t="n">
        <v>20</v>
      </c>
      <c r="G21" s="16" t="inlineStr">
        <is>
          <t>林滄海</t>
        </is>
      </c>
      <c r="H21" s="17" t="n">
        <v>4980</v>
      </c>
      <c r="I21" t="inlineStr">
        <is>
          <t>民哥</t>
        </is>
      </c>
      <c r="J21" s="18" t="n">
        <v>4960</v>
      </c>
      <c r="K21" t="inlineStr">
        <is>
          <t>蔣承翰</t>
        </is>
      </c>
      <c r="L21" s="18" t="n">
        <v>2946</v>
      </c>
      <c r="M21" s="19" t="n">
        <v>8</v>
      </c>
      <c r="N21" s="17" t="n">
        <v>25298</v>
      </c>
    </row>
    <row r="22">
      <c r="B22" t="n">
        <v>7</v>
      </c>
      <c r="C22" t="inlineStr">
        <is>
          <t>1815</t>
        </is>
      </c>
      <c r="D22" t="inlineStr">
        <is>
          <t>富喬</t>
        </is>
      </c>
      <c r="E22" s="14" t="n">
        <v>11</v>
      </c>
      <c r="F22" s="15" t="n">
        <v>25</v>
      </c>
      <c r="G22" s="16" t="inlineStr">
        <is>
          <t>林滄海</t>
        </is>
      </c>
      <c r="H22" s="17" t="n">
        <v>6536</v>
      </c>
      <c r="I22" t="inlineStr">
        <is>
          <t>張濬安</t>
        </is>
      </c>
      <c r="J22" s="18" t="n">
        <v>4390</v>
      </c>
      <c r="K22" t="inlineStr">
        <is>
          <t>陳族元</t>
        </is>
      </c>
      <c r="L22" s="18" t="n">
        <v>3538</v>
      </c>
      <c r="M22" s="19" t="n">
        <v>8</v>
      </c>
      <c r="N22" s="17" t="n">
        <v>23395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12</v>
      </c>
      <c r="F23" s="15" t="n">
        <v>24</v>
      </c>
      <c r="G23" s="16" t="inlineStr">
        <is>
          <t>強森</t>
        </is>
      </c>
      <c r="H23" s="17" t="n">
        <v>7071</v>
      </c>
      <c r="I23" t="inlineStr">
        <is>
          <t>林滄海</t>
        </is>
      </c>
      <c r="J23" s="18" t="n">
        <v>3478</v>
      </c>
      <c r="K23" t="inlineStr">
        <is>
          <t>張濬安</t>
        </is>
      </c>
      <c r="L23" s="18" t="n">
        <v>3193</v>
      </c>
      <c r="M23" s="19" t="n">
        <v>9</v>
      </c>
      <c r="N23" s="17" t="n">
        <v>23246</v>
      </c>
    </row>
    <row r="24">
      <c r="B24" t="n">
        <v>9</v>
      </c>
      <c r="C24" t="inlineStr">
        <is>
          <t>3363</t>
        </is>
      </c>
      <c r="D24" t="inlineStr">
        <is>
          <t>上詮</t>
        </is>
      </c>
      <c r="E24" s="14" t="n">
        <v>10</v>
      </c>
      <c r="F24" s="15" t="n">
        <v>12</v>
      </c>
      <c r="G24" s="16" t="inlineStr">
        <is>
          <t>竹科主力分點</t>
        </is>
      </c>
      <c r="H24" s="17" t="n">
        <v>3561</v>
      </c>
      <c r="I24" t="inlineStr">
        <is>
          <t>陳律師</t>
        </is>
      </c>
      <c r="J24" s="18" t="n">
        <v>1836</v>
      </c>
      <c r="K24" t="inlineStr">
        <is>
          <t>布哥</t>
        </is>
      </c>
      <c r="L24" s="18" t="n">
        <v>1754</v>
      </c>
      <c r="M24" s="19" t="n">
        <v>7</v>
      </c>
      <c r="N24" s="17" t="n">
        <v>10720</v>
      </c>
    </row>
    <row r="25">
      <c r="B25" t="n">
        <v>10</v>
      </c>
      <c r="C25" t="inlineStr">
        <is>
          <t>6949</t>
        </is>
      </c>
      <c r="D25" t="inlineStr">
        <is>
          <t>沛爾生醫*-創</t>
        </is>
      </c>
      <c r="E25" s="14" t="n">
        <v>10</v>
      </c>
      <c r="F25" s="15" t="n">
        <v>14</v>
      </c>
      <c r="G25" s="16" t="inlineStr">
        <is>
          <t>陳律師</t>
        </is>
      </c>
      <c r="H25" s="17" t="n">
        <v>1704</v>
      </c>
      <c r="I25" t="inlineStr">
        <is>
          <t>強森</t>
        </is>
      </c>
      <c r="J25" s="18" t="n">
        <v>931</v>
      </c>
      <c r="K25" t="inlineStr">
        <is>
          <t>張濬安</t>
        </is>
      </c>
      <c r="L25" s="18" t="n">
        <v>467</v>
      </c>
      <c r="M25" s="19" t="n">
        <v>7</v>
      </c>
      <c r="N25" s="17" t="n">
        <v>4100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210" t="n">
        <v>1</v>
      </c>
      <c r="F28" s="22" t="inlineStr">
        <is>
          <t>Q2 淨買差</t>
        </is>
      </c>
      <c r="G28" s="270" t="n">
        <v>-92.48764</v>
      </c>
    </row>
    <row r="29" ht="28" customHeight="1">
      <c r="B29" s="22" t="inlineStr">
        <is>
          <t>Q3 強共識股</t>
        </is>
      </c>
      <c r="C29" s="273" t="n">
        <v>10</v>
      </c>
      <c r="F29" s="22" t="inlineStr">
        <is>
          <t>Q4 追蹤佔比</t>
        </is>
      </c>
      <c r="G29" s="274" t="n">
        <v>0.1677684423597064</v>
      </c>
    </row>
    <row r="30" ht="22" customHeight="1">
      <c r="B30" s="214" t="n">
        <v>95</v>
      </c>
    </row>
    <row r="31" ht="18" customHeight="1">
      <c r="B31" s="28" t="inlineStr">
        <is>
          <t>✅ 過去 30 天 P/C 命中率: 偏多 15/24 (62%) | 偏空 2/2 (100%) | 整體 17/26 (65%)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2" t="inlineStr">
        <is>
          <t>張濬安(航海王)</t>
        </is>
      </c>
      <c r="D35" s="33" t="n">
        <v>1130506</v>
      </c>
      <c r="E35" t="inlineStr">
        <is>
          <t>31.5%</t>
        </is>
      </c>
      <c r="F35" t="n">
        <v>1</v>
      </c>
      <c r="G35" s="16" t="inlineStr">
        <is>
          <t>台積電(2330)</t>
        </is>
      </c>
      <c r="H35" s="33" t="n">
        <v>124931</v>
      </c>
      <c r="I35" s="275" t="inlineStr">
        <is>
          <t>—</t>
        </is>
      </c>
    </row>
    <row r="36">
      <c r="B36" t="n">
        <v>2</v>
      </c>
      <c r="C36" s="35" t="inlineStr">
        <is>
          <t>陳族元</t>
        </is>
      </c>
      <c r="D36" s="33" t="n">
        <v>820419</v>
      </c>
      <c r="E36" t="inlineStr">
        <is>
          <t>22.8%</t>
        </is>
      </c>
      <c r="F36" t="n">
        <v>2</v>
      </c>
      <c r="G36" s="16" t="inlineStr">
        <is>
          <t>聯電(2303)</t>
        </is>
      </c>
      <c r="H36" s="33" t="n">
        <v>103960</v>
      </c>
      <c r="I36" s="215" t="n">
        <v>0.0328</v>
      </c>
    </row>
    <row r="37">
      <c r="B37" t="n">
        <v>3</v>
      </c>
      <c r="C37" s="36" t="inlineStr">
        <is>
          <t>陳律師</t>
        </is>
      </c>
      <c r="D37" s="33" t="n">
        <v>385173</v>
      </c>
      <c r="E37" t="inlineStr">
        <is>
          <t>10.7%</t>
        </is>
      </c>
      <c r="F37" t="n">
        <v>3</v>
      </c>
      <c r="G37" s="16" t="inlineStr">
        <is>
          <t>穎崴(6515)</t>
        </is>
      </c>
      <c r="H37" s="33" t="n">
        <v>97304</v>
      </c>
      <c r="I37" s="233" t="n">
        <v>-0.0545</v>
      </c>
    </row>
    <row r="38">
      <c r="B38" t="n">
        <v>4</v>
      </c>
      <c r="C38" s="37" t="inlineStr">
        <is>
          <t>林滄海</t>
        </is>
      </c>
      <c r="D38" s="33" t="n">
        <v>311734</v>
      </c>
      <c r="E38" t="inlineStr">
        <is>
          <t>8.7%</t>
        </is>
      </c>
      <c r="F38" t="n">
        <v>4</v>
      </c>
      <c r="G38" s="16" t="inlineStr">
        <is>
          <t>致茂(2360)</t>
        </is>
      </c>
      <c r="H38" s="33" t="n">
        <v>84336</v>
      </c>
      <c r="I38" s="215" t="n">
        <v>0.0309</v>
      </c>
    </row>
    <row r="39">
      <c r="B39" t="n">
        <v>5</v>
      </c>
      <c r="C39" s="38" t="inlineStr">
        <is>
          <t>蔣承翰</t>
        </is>
      </c>
      <c r="D39" s="33" t="n">
        <v>245579</v>
      </c>
      <c r="E39" t="inlineStr">
        <is>
          <t>6.8%</t>
        </is>
      </c>
      <c r="F39" t="n">
        <v>5</v>
      </c>
      <c r="G39" s="16" t="inlineStr">
        <is>
          <t>高力(8996)</t>
        </is>
      </c>
      <c r="H39" s="33" t="n">
        <v>72138</v>
      </c>
      <c r="I39" s="215" t="n">
        <v>0.098</v>
      </c>
    </row>
    <row r="42" ht="22" customHeight="1">
      <c r="B42" s="39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陳族元</t>
        </is>
      </c>
      <c r="D44" t="inlineStr">
        <is>
          <t>high</t>
        </is>
      </c>
      <c r="E44" t="inlineStr">
        <is>
          <t>陳族元 今日買進 15 檔新標的 (過去從沒買過)</t>
        </is>
      </c>
      <c r="F44" t="inlineStr">
        <is>
          <t>15 檔</t>
        </is>
      </c>
    </row>
    <row r="45">
      <c r="B45" s="40" t="inlineStr">
        <is>
          <t>🆕 新標的</t>
        </is>
      </c>
      <c r="C45" s="40" t="inlineStr">
        <is>
          <t>張濬安(航海王)</t>
        </is>
      </c>
      <c r="D45" s="40" t="inlineStr">
        <is>
          <t>high</t>
        </is>
      </c>
      <c r="E45" s="40" t="inlineStr">
        <is>
          <t>張濬安(航海王) 今日買進 9 檔新標的 (過去從沒買過)</t>
        </is>
      </c>
      <c r="F45" s="40" t="inlineStr">
        <is>
          <t>9 檔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9 檔新標的 (過去從沒買過)</t>
        </is>
      </c>
      <c r="F46" t="inlineStr">
        <is>
          <t>9 檔</t>
        </is>
      </c>
    </row>
    <row r="47">
      <c r="B47" s="40" t="inlineStr">
        <is>
          <t>🆕 新標的</t>
        </is>
      </c>
      <c r="C47" s="40" t="inlineStr">
        <is>
          <t>竹科主力分點</t>
        </is>
      </c>
      <c r="D47" s="40" t="inlineStr">
        <is>
          <t>high</t>
        </is>
      </c>
      <c r="E47" s="40" t="inlineStr">
        <is>
          <t>竹科主力分點 今日買進 9 檔新標的 (過去從沒買過)</t>
        </is>
      </c>
      <c r="F47" s="40" t="inlineStr">
        <is>
          <t>9 檔</t>
        </is>
      </c>
    </row>
    <row r="48">
      <c r="B48" t="inlineStr">
        <is>
          <t>🆕 新標的</t>
        </is>
      </c>
      <c r="C48" t="inlineStr">
        <is>
          <t>布哥/n_nchang</t>
        </is>
      </c>
      <c r="D48" t="inlineStr">
        <is>
          <t>high</t>
        </is>
      </c>
      <c r="E48" t="inlineStr">
        <is>
          <t>布哥/n_nchang 今日買進 8 檔新標的 (過去從沒買過)</t>
        </is>
      </c>
      <c r="F48" t="inlineStr">
        <is>
          <t>8 檔</t>
        </is>
      </c>
    </row>
    <row r="49">
      <c r="B49" s="40" t="inlineStr">
        <is>
          <t>🆕 新標的</t>
        </is>
      </c>
      <c r="C49" s="40" t="inlineStr">
        <is>
          <t>Tradow</t>
        </is>
      </c>
      <c r="D49" s="40" t="inlineStr">
        <is>
          <t>high</t>
        </is>
      </c>
      <c r="E49" s="40" t="inlineStr">
        <is>
          <t>Tradow 今日買進 7 檔新標的 (過去從沒買過)</t>
        </is>
      </c>
      <c r="F49" s="40" t="inlineStr">
        <is>
          <t>7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high</t>
        </is>
      </c>
      <c r="E50" t="inlineStr">
        <is>
          <t>林滄海 今日買進 7 檔新標的 (過去從沒買過)</t>
        </is>
      </c>
      <c r="F50" t="inlineStr">
        <is>
          <t>7 檔</t>
        </is>
      </c>
    </row>
    <row r="51">
      <c r="B51" s="40" t="inlineStr">
        <is>
          <t>🆕 新標的</t>
        </is>
      </c>
      <c r="C51" s="40" t="inlineStr">
        <is>
          <t>陳律師</t>
        </is>
      </c>
      <c r="D51" s="40" t="inlineStr">
        <is>
          <t>high</t>
        </is>
      </c>
      <c r="E51" s="40" t="inlineStr">
        <is>
          <t>陳律師 今日買進 7 檔新標的 (過去從沒買過)</t>
        </is>
      </c>
      <c r="F51" s="40" t="inlineStr">
        <is>
          <t>7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high</t>
        </is>
      </c>
      <c r="E52" t="inlineStr">
        <is>
          <t>民哥 今日買進 6 檔新標的 (過去從沒買過)</t>
        </is>
      </c>
      <c r="F52" t="inlineStr">
        <is>
          <t>6 檔</t>
        </is>
      </c>
    </row>
    <row r="53">
      <c r="B53" s="40" t="inlineStr">
        <is>
          <t>🆕 新標的</t>
        </is>
      </c>
      <c r="C53" s="40" t="inlineStr">
        <is>
          <t>大牌分析師</t>
        </is>
      </c>
      <c r="D53" s="40" t="inlineStr">
        <is>
          <t>high</t>
        </is>
      </c>
      <c r="E53" s="40" t="inlineStr">
        <is>
          <t>大牌分析師 今日買進 5 檔新標的 (過去從沒買過)</t>
        </is>
      </c>
      <c r="F53" s="40" t="inlineStr">
        <is>
          <t>5 檔</t>
        </is>
      </c>
    </row>
    <row r="54">
      <c r="B54" s="41" t="inlineStr">
        <is>
          <t>… 另 3 筆 anomaly (詳見當日 sheet)</t>
        </is>
      </c>
      <c r="C54" s="42" t="n"/>
      <c r="D54" s="42" t="n"/>
      <c r="E54" s="42" t="n"/>
      <c r="F54" s="42" t="n"/>
    </row>
    <row r="56" ht="22" customHeight="1">
      <c r="B56" s="43" t="inlineStr">
        <is>
          <t>▍ F. 跨日連續囤貨 Top 30 (按連續天數排序)</t>
        </is>
      </c>
    </row>
    <row r="57">
      <c r="B57" s="44" t="inlineStr">
        <is>
          <t>Master</t>
        </is>
      </c>
      <c r="C57" s="44" t="inlineStr">
        <is>
          <t>股票代號</t>
        </is>
      </c>
      <c r="D57" s="44" t="inlineStr">
        <is>
          <t>連續天數</t>
        </is>
      </c>
      <c r="E57" s="44" t="inlineStr">
        <is>
          <t>累計買金額(萬)</t>
        </is>
      </c>
      <c r="F57" s="44" t="inlineStr">
        <is>
          <t>說明</t>
        </is>
      </c>
    </row>
    <row r="58">
      <c r="B58" t="inlineStr">
        <is>
          <t>🔴 陳族元</t>
        </is>
      </c>
      <c r="C58" t="inlineStr">
        <is>
          <t>3008</t>
        </is>
      </c>
      <c r="D58" s="45" t="n">
        <v>29</v>
      </c>
      <c r="E58" t="n">
        <v>1169954</v>
      </c>
      <c r="F58" t="inlineStr">
        <is>
          <t>陳族元 連續 29 天加碼 3008 (累計 1,169,954 萬)</t>
        </is>
      </c>
    </row>
    <row r="59">
      <c r="B59" s="40" t="inlineStr">
        <is>
          <t>🔴 陳族元</t>
        </is>
      </c>
      <c r="C59" s="40" t="inlineStr">
        <is>
          <t>6274</t>
        </is>
      </c>
      <c r="D59" s="46" t="n">
        <v>25</v>
      </c>
      <c r="E59" s="40" t="n">
        <v>491474</v>
      </c>
      <c r="F59" s="40" t="inlineStr">
        <is>
          <t>陳族元 連續 25 天加碼 6274 (累計 491,474 萬)</t>
        </is>
      </c>
    </row>
    <row r="60">
      <c r="B60" t="inlineStr">
        <is>
          <t>🔴 強森</t>
        </is>
      </c>
      <c r="C60" t="inlineStr">
        <is>
          <t>6669</t>
        </is>
      </c>
      <c r="D60" s="45" t="n">
        <v>25</v>
      </c>
      <c r="E60" t="n">
        <v>169220</v>
      </c>
      <c r="F60" t="inlineStr">
        <is>
          <t>強森 連續 25 天加碼 6669 (累計 169,220 萬)</t>
        </is>
      </c>
    </row>
    <row r="61">
      <c r="B61" s="40" t="inlineStr">
        <is>
          <t>🔴 張濬安(航海王)</t>
        </is>
      </c>
      <c r="C61" s="40" t="inlineStr">
        <is>
          <t>3008</t>
        </is>
      </c>
      <c r="D61" s="46" t="n">
        <v>22</v>
      </c>
      <c r="E61" s="40" t="n">
        <v>741463</v>
      </c>
      <c r="F61" s="40" t="inlineStr">
        <is>
          <t>張濬安(航海王) 連續 22 天加碼 3008 (累計 741,463 萬)</t>
        </is>
      </c>
    </row>
    <row r="62">
      <c r="B62" t="inlineStr">
        <is>
          <t>🔴 張濬安(航海王)</t>
        </is>
      </c>
      <c r="C62" t="inlineStr">
        <is>
          <t>3481</t>
        </is>
      </c>
      <c r="D62" s="45" t="n">
        <v>22</v>
      </c>
      <c r="E62" t="n">
        <v>189045</v>
      </c>
      <c r="F62" t="inlineStr">
        <is>
          <t>張濬安(航海王) 連續 22 天加碼 3481 (累計 189,045 萬)</t>
        </is>
      </c>
    </row>
    <row r="63">
      <c r="B63" s="40" t="inlineStr">
        <is>
          <t>🔴 陳族元</t>
        </is>
      </c>
      <c r="C63" s="40" t="inlineStr">
        <is>
          <t>2454</t>
        </is>
      </c>
      <c r="D63" s="46" t="n">
        <v>21</v>
      </c>
      <c r="E63" s="40" t="n">
        <v>799913</v>
      </c>
      <c r="F63" s="40" t="inlineStr">
        <is>
          <t>陳族元 連續 21 天加碼 2454 (累計 799,913 萬)</t>
        </is>
      </c>
    </row>
    <row r="64">
      <c r="B64" t="inlineStr">
        <is>
          <t>🔴 張濬安(航海王)</t>
        </is>
      </c>
      <c r="C64" t="inlineStr">
        <is>
          <t>6669</t>
        </is>
      </c>
      <c r="D64" s="45" t="n">
        <v>21</v>
      </c>
      <c r="E64" t="n">
        <v>642541</v>
      </c>
      <c r="F64" t="inlineStr">
        <is>
          <t>張濬安(航海王) 連續 21 天加碼 6669 (累計 642,541 萬)</t>
        </is>
      </c>
    </row>
    <row r="66" ht="22" customHeight="1">
      <c r="B66" s="47" t="inlineStr">
        <is>
          <t>▍ J. Master × Top 3 個股 cross-table (今日)</t>
        </is>
      </c>
    </row>
    <row r="67">
      <c r="B67" s="48" t="inlineStr">
        <is>
          <t>Master</t>
        </is>
      </c>
      <c r="C67" s="48" t="inlineStr">
        <is>
          <t>今日總買(萬)</t>
        </is>
      </c>
      <c r="D67" s="48" t="inlineStr">
        <is>
          <t>Top1 個股</t>
        </is>
      </c>
      <c r="E67" s="48" t="inlineStr">
        <is>
          <t>Top1 金額</t>
        </is>
      </c>
      <c r="F67" s="48" t="inlineStr">
        <is>
          <t>Top2 個股</t>
        </is>
      </c>
      <c r="G67" s="48" t="inlineStr">
        <is>
          <t>Top2 金額</t>
        </is>
      </c>
      <c r="H67" s="48" t="inlineStr">
        <is>
          <t>Top3 個股</t>
        </is>
      </c>
      <c r="I67" s="48" t="inlineStr">
        <is>
          <t>Top3 金額</t>
        </is>
      </c>
      <c r="J67" s="48" t="inlineStr">
        <is>
          <t>Top3 合計%</t>
        </is>
      </c>
    </row>
    <row r="68">
      <c r="B68" s="32" t="inlineStr">
        <is>
          <t>張濬安(航海王)</t>
        </is>
      </c>
      <c r="C68" s="33" t="n">
        <v>974048</v>
      </c>
      <c r="D68" t="inlineStr">
        <is>
          <t>聯亞(3081)</t>
        </is>
      </c>
      <c r="E68" s="33" t="n">
        <v>125157</v>
      </c>
      <c r="F68" t="inlineStr">
        <is>
          <t>穎崴(6515)</t>
        </is>
      </c>
      <c r="G68" s="33" t="n">
        <v>67092</v>
      </c>
      <c r="H68" t="inlineStr">
        <is>
          <t>大立光(3008)</t>
        </is>
      </c>
      <c r="I68" s="33" t="n">
        <v>43082</v>
      </c>
      <c r="J68" s="216" t="n">
        <v>0.241600905909716</v>
      </c>
    </row>
    <row r="69">
      <c r="B69" s="35" t="inlineStr">
        <is>
          <t>陳族元</t>
        </is>
      </c>
      <c r="C69" s="33" t="n">
        <v>795100</v>
      </c>
      <c r="D69" t="inlineStr">
        <is>
          <t>致茂(2360)</t>
        </is>
      </c>
      <c r="E69" s="33" t="n">
        <v>73123</v>
      </c>
      <c r="F69" t="inlineStr">
        <is>
          <t>聯電(2303)</t>
        </is>
      </c>
      <c r="G69" s="33" t="n">
        <v>64625</v>
      </c>
      <c r="H69" t="inlineStr">
        <is>
          <t>高力(8996)</t>
        </is>
      </c>
      <c r="I69" s="33" t="n">
        <v>58459</v>
      </c>
      <c r="J69" s="216" t="n">
        <v>0.2467697765739597</v>
      </c>
    </row>
    <row r="70">
      <c r="B70" s="36" t="inlineStr">
        <is>
          <t>陳律師</t>
        </is>
      </c>
      <c r="C70" s="33" t="n">
        <v>373611</v>
      </c>
      <c r="D70" t="inlineStr">
        <is>
          <t>台積電(2330)</t>
        </is>
      </c>
      <c r="E70" s="33" t="n">
        <v>56392</v>
      </c>
      <c r="F70" t="inlineStr">
        <is>
          <t>晶技(3042)</t>
        </is>
      </c>
      <c r="G70" s="33" t="n">
        <v>54230</v>
      </c>
      <c r="H70" t="inlineStr">
        <is>
          <t>聯亞(3081)</t>
        </is>
      </c>
      <c r="I70" s="33" t="n">
        <v>31412</v>
      </c>
      <c r="J70" s="216" t="n">
        <v>0.3801667669045342</v>
      </c>
    </row>
    <row r="71">
      <c r="B71" s="37" t="inlineStr">
        <is>
          <t>林滄海</t>
        </is>
      </c>
      <c r="C71" s="33" t="n">
        <v>302610</v>
      </c>
      <c r="D71" t="inlineStr">
        <is>
          <t>聯電(2303)</t>
        </is>
      </c>
      <c r="E71" s="33" t="n">
        <v>75724</v>
      </c>
      <c r="F71" t="inlineStr">
        <is>
          <t>玉晶光(3406)</t>
        </is>
      </c>
      <c r="G71" s="33" t="n">
        <v>16916</v>
      </c>
      <c r="H71" t="inlineStr">
        <is>
          <t>台積電(2330)</t>
        </is>
      </c>
      <c r="I71" s="33" t="n">
        <v>12164</v>
      </c>
      <c r="J71" s="216" t="n">
        <v>0.3463343529088304</v>
      </c>
    </row>
    <row r="72">
      <c r="B72" s="38" t="inlineStr">
        <is>
          <t>蔣承翰</t>
        </is>
      </c>
      <c r="C72" s="33" t="n">
        <v>241708</v>
      </c>
      <c r="D72" t="inlineStr">
        <is>
          <t>家登(3680)</t>
        </is>
      </c>
      <c r="E72" s="33" t="n">
        <v>51961</v>
      </c>
      <c r="F72" t="inlineStr">
        <is>
          <t>玉晶光(3406)</t>
        </is>
      </c>
      <c r="G72" s="33" t="n">
        <v>24947</v>
      </c>
      <c r="H72" t="inlineStr">
        <is>
          <t>高力(8996)</t>
        </is>
      </c>
      <c r="I72" s="33" t="n">
        <v>20893</v>
      </c>
      <c r="J72" s="216" t="n">
        <v>0.404625829513297</v>
      </c>
    </row>
    <row r="73">
      <c r="B73" s="52" t="inlineStr">
        <is>
          <t>強森</t>
        </is>
      </c>
      <c r="C73" s="33" t="n">
        <v>205960</v>
      </c>
      <c r="D73" t="inlineStr">
        <is>
          <t>緯穎(6669)</t>
        </is>
      </c>
      <c r="E73" s="33" t="n">
        <v>16303</v>
      </c>
      <c r="F73" t="inlineStr">
        <is>
          <t>台積電(2330)</t>
        </is>
      </c>
      <c r="G73" s="33" t="n">
        <v>15869</v>
      </c>
      <c r="H73" t="inlineStr">
        <is>
          <t>華邦電(2344)</t>
        </is>
      </c>
      <c r="I73" s="33" t="n">
        <v>14104</v>
      </c>
      <c r="J73" s="216" t="n">
        <v>0.2246833245856843</v>
      </c>
    </row>
    <row r="74">
      <c r="B74" s="53" t="inlineStr">
        <is>
          <t>竹科主力分點</t>
        </is>
      </c>
      <c r="C74" s="33" t="n">
        <v>96969</v>
      </c>
      <c r="D74" t="inlineStr">
        <is>
          <t>穎崴(6515)</t>
        </is>
      </c>
      <c r="E74" s="33" t="n">
        <v>13840</v>
      </c>
      <c r="F74" t="inlineStr">
        <is>
          <t>定穎投控(3715)</t>
        </is>
      </c>
      <c r="G74" s="33" t="n">
        <v>12910</v>
      </c>
      <c r="H74" t="inlineStr">
        <is>
          <t>巨有科技(8227)</t>
        </is>
      </c>
      <c r="I74" s="33" t="n">
        <v>8581</v>
      </c>
      <c r="J74" s="216" t="n">
        <v>0.3643541158344797</v>
      </c>
    </row>
    <row r="75">
      <c r="B75" s="54" t="inlineStr">
        <is>
          <t>民哥</t>
        </is>
      </c>
      <c r="C75" s="33" t="n">
        <v>81823</v>
      </c>
      <c r="D75" t="inlineStr">
        <is>
          <t>華邦電(2344)</t>
        </is>
      </c>
      <c r="E75" s="33" t="n">
        <v>10273</v>
      </c>
      <c r="F75" t="inlineStr">
        <is>
          <t>世芯-KY(3661)</t>
        </is>
      </c>
      <c r="G75" s="33" t="n">
        <v>5403</v>
      </c>
      <c r="H75" t="inlineStr">
        <is>
          <t>聯發科(2454)</t>
        </is>
      </c>
      <c r="I75" s="33" t="n">
        <v>5255</v>
      </c>
      <c r="J75" s="216" t="n">
        <v>0.2557994013915386</v>
      </c>
    </row>
    <row r="76">
      <c r="B76" s="55" t="inlineStr">
        <is>
          <t>布哥/n_nchang</t>
        </is>
      </c>
      <c r="C76" s="33" t="n">
        <v>71127</v>
      </c>
      <c r="D76" t="inlineStr">
        <is>
          <t>聯電(2303)</t>
        </is>
      </c>
      <c r="E76" s="33" t="n">
        <v>9566</v>
      </c>
      <c r="F76" t="inlineStr">
        <is>
          <t>台積電(2330)</t>
        </is>
      </c>
      <c r="G76" s="33" t="n">
        <v>6627</v>
      </c>
      <c r="H76" t="inlineStr">
        <is>
          <t>精測(6510)</t>
        </is>
      </c>
      <c r="I76" s="33" t="n">
        <v>5268</v>
      </c>
      <c r="J76" s="216" t="n">
        <v>0.3017270467556715</v>
      </c>
    </row>
    <row r="77">
      <c r="B77" s="50" t="inlineStr">
        <is>
          <t>巨人傑</t>
        </is>
      </c>
      <c r="C77" s="33" t="n">
        <v>66259</v>
      </c>
      <c r="D77" t="inlineStr">
        <is>
          <t>群創(3481)</t>
        </is>
      </c>
      <c r="E77" s="33" t="n">
        <v>17108</v>
      </c>
      <c r="F77" t="inlineStr">
        <is>
          <t>華邦電(2344)</t>
        </is>
      </c>
      <c r="G77" s="33" t="n">
        <v>7164</v>
      </c>
      <c r="H77" t="inlineStr">
        <is>
          <t>欣興(3037)</t>
        </is>
      </c>
      <c r="I77" s="33" t="n">
        <v>4334</v>
      </c>
      <c r="J77" s="216" t="n">
        <v>0.4317315383570534</v>
      </c>
    </row>
    <row r="78">
      <c r="B78" s="56" t="inlineStr">
        <is>
          <t>大牌分析師</t>
        </is>
      </c>
      <c r="C78" s="33" t="n">
        <v>62664</v>
      </c>
      <c r="D78" t="inlineStr">
        <is>
          <t>華邦電(2344)</t>
        </is>
      </c>
      <c r="E78" s="33" t="n">
        <v>8038</v>
      </c>
      <c r="F78" t="inlineStr">
        <is>
          <t>台積電(2330)</t>
        </is>
      </c>
      <c r="G78" s="33" t="n">
        <v>6391</v>
      </c>
      <c r="H78" t="inlineStr">
        <is>
          <t>強茂(2481)</t>
        </is>
      </c>
      <c r="I78" s="33" t="n">
        <v>4876</v>
      </c>
      <c r="J78" s="216" t="n">
        <v>0.3080805824096209</v>
      </c>
    </row>
    <row r="79">
      <c r="B79" s="57" t="inlineStr">
        <is>
          <t>Tradow</t>
        </is>
      </c>
      <c r="C79" s="33" t="n">
        <v>47222</v>
      </c>
      <c r="D79" t="inlineStr">
        <is>
          <t>日月光投控(3711)</t>
        </is>
      </c>
      <c r="E79" s="33" t="n">
        <v>4145</v>
      </c>
      <c r="F79" t="inlineStr">
        <is>
          <t>景碩(3189)</t>
        </is>
      </c>
      <c r="G79" s="33" t="n">
        <v>4113</v>
      </c>
      <c r="H79" t="inlineStr">
        <is>
          <t>穩懋(3105)</t>
        </is>
      </c>
      <c r="I79" s="33" t="n">
        <v>4064</v>
      </c>
      <c r="J79" s="216" t="n">
        <v>0.2609456165651252</v>
      </c>
    </row>
    <row r="80">
      <c r="B80" s="58" t="inlineStr">
        <is>
          <t>迷你哥/松山哥</t>
        </is>
      </c>
      <c r="C80" s="33" t="n">
        <v>32204</v>
      </c>
      <c r="D80" t="inlineStr">
        <is>
          <t>聯電(2303)</t>
        </is>
      </c>
      <c r="E80" s="33" t="n">
        <v>7106</v>
      </c>
      <c r="F80" t="inlineStr">
        <is>
          <t>聯發科(2454)</t>
        </is>
      </c>
      <c r="G80" s="33" t="n">
        <v>3319</v>
      </c>
      <c r="H80" t="inlineStr">
        <is>
          <t>良維(6290)</t>
        </is>
      </c>
      <c r="I80" s="33" t="n">
        <v>3032</v>
      </c>
      <c r="J80" s="216" t="n">
        <v>0.4178466296530909</v>
      </c>
    </row>
    <row r="82" ht="22" customHeight="1">
      <c r="B82" s="59" t="inlineStr">
        <is>
          <t>▍ G. 注意股 (資料日 20260909)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s="61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20260909)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s="45" t="inlineStr">
        <is>
          <t>🔴 2887</t>
        </is>
      </c>
      <c r="C88" t="inlineStr">
        <is>
          <t>台新新光金</t>
        </is>
      </c>
      <c r="D88" s="33" t="n">
        <v>18602</v>
      </c>
      <c r="E88" s="33" t="n">
        <v>5</v>
      </c>
      <c r="F88" s="246" t="n">
        <v>3720.4</v>
      </c>
    </row>
    <row r="89">
      <c r="B89" s="46" t="inlineStr">
        <is>
          <t>🔴 2884</t>
        </is>
      </c>
      <c r="C89" s="40" t="inlineStr">
        <is>
          <t>玉山金</t>
        </is>
      </c>
      <c r="D89" s="63" t="n">
        <v>11748</v>
      </c>
      <c r="E89" s="63" t="n">
        <v>5</v>
      </c>
      <c r="F89" s="220" t="n">
        <v>2349.6</v>
      </c>
    </row>
    <row r="90">
      <c r="B90" t="inlineStr">
        <is>
          <t>2883</t>
        </is>
      </c>
      <c r="C90" t="inlineStr">
        <is>
          <t>凱基金</t>
        </is>
      </c>
      <c r="D90" s="33" t="n">
        <v>8568</v>
      </c>
      <c r="E90" s="33" t="n">
        <v>13</v>
      </c>
      <c r="F90" s="218" t="n">
        <v>659.08</v>
      </c>
    </row>
    <row r="91">
      <c r="B91" s="40" t="inlineStr">
        <is>
          <t>3231</t>
        </is>
      </c>
      <c r="C91" s="40" t="inlineStr">
        <is>
          <t>緯創</t>
        </is>
      </c>
      <c r="D91" s="63" t="n">
        <v>8143</v>
      </c>
      <c r="E91" s="63" t="n">
        <v>102</v>
      </c>
      <c r="F91" s="219" t="n">
        <v>79.83</v>
      </c>
    </row>
    <row r="92">
      <c r="B92" s="45" t="inlineStr">
        <is>
          <t>🔴 00919</t>
        </is>
      </c>
      <c r="C92" t="inlineStr">
        <is>
          <t>群益台灣精選高息</t>
        </is>
      </c>
      <c r="D92" s="33" t="n">
        <v>8108</v>
      </c>
      <c r="E92" s="33" t="n">
        <v>5</v>
      </c>
      <c r="F92" s="246" t="n">
        <v>1621.6</v>
      </c>
    </row>
    <row r="93">
      <c r="B93" s="40" t="inlineStr">
        <is>
          <t>2891</t>
        </is>
      </c>
      <c r="C93" s="40" t="inlineStr">
        <is>
          <t>中信金</t>
        </is>
      </c>
      <c r="D93" s="63" t="n">
        <v>7988</v>
      </c>
      <c r="E93" s="63" t="n">
        <v>0</v>
      </c>
      <c r="F93" s="40" t="inlineStr">
        <is>
          <t>—</t>
        </is>
      </c>
    </row>
    <row r="94">
      <c r="B94" t="inlineStr">
        <is>
          <t>2801</t>
        </is>
      </c>
      <c r="C94" t="inlineStr">
        <is>
          <t>彰銀</t>
        </is>
      </c>
      <c r="D94" s="33" t="n">
        <v>7832</v>
      </c>
      <c r="E94" s="33" t="n">
        <v>0</v>
      </c>
      <c r="F94" t="inlineStr">
        <is>
          <t>—</t>
        </is>
      </c>
    </row>
    <row r="95">
      <c r="B95" s="46" t="inlineStr">
        <is>
          <t>🔴 2890</t>
        </is>
      </c>
      <c r="C95" s="40" t="inlineStr">
        <is>
          <t>永豐金</t>
        </is>
      </c>
      <c r="D95" s="63" t="n">
        <v>4453</v>
      </c>
      <c r="E95" s="63" t="n">
        <v>2</v>
      </c>
      <c r="F95" s="220" t="n">
        <v>2226.5</v>
      </c>
    </row>
    <row r="96">
      <c r="B96" t="inlineStr">
        <is>
          <t>8112</t>
        </is>
      </c>
      <c r="C96" t="inlineStr">
        <is>
          <t>至上</t>
        </is>
      </c>
      <c r="D96" s="33" t="n">
        <v>4370</v>
      </c>
      <c r="E96" s="33" t="n">
        <v>14</v>
      </c>
      <c r="F96" s="218" t="n">
        <v>312.14</v>
      </c>
    </row>
    <row r="97">
      <c r="B97" s="40" t="inlineStr">
        <is>
          <t>00991A</t>
        </is>
      </c>
      <c r="C97" s="40" t="inlineStr">
        <is>
          <t>主動復華未來50</t>
        </is>
      </c>
      <c r="D97" s="63" t="n">
        <v>4323</v>
      </c>
      <c r="E97" s="63" t="n">
        <v>76</v>
      </c>
      <c r="F97" s="219" t="n">
        <v>56.88</v>
      </c>
    </row>
    <row r="98">
      <c r="B98" t="inlineStr">
        <is>
          <t>2344</t>
        </is>
      </c>
      <c r="C98" t="inlineStr">
        <is>
          <t>華邦電</t>
        </is>
      </c>
      <c r="D98" s="33" t="n">
        <v>3674</v>
      </c>
      <c r="E98" s="33" t="n">
        <v>270</v>
      </c>
      <c r="F98" s="218" t="n">
        <v>13.61</v>
      </c>
    </row>
    <row r="99">
      <c r="B99" s="40" t="inlineStr">
        <is>
          <t>00406A</t>
        </is>
      </c>
      <c r="C99" s="40" t="inlineStr">
        <is>
          <t>主動中信台灣收益</t>
        </is>
      </c>
      <c r="D99" s="63" t="n">
        <v>3452</v>
      </c>
      <c r="E99" s="63" t="n">
        <v>27</v>
      </c>
      <c r="F99" s="219" t="n">
        <v>127.85</v>
      </c>
    </row>
    <row r="100">
      <c r="B100" t="inlineStr">
        <is>
          <t>00981A</t>
        </is>
      </c>
      <c r="C100" t="inlineStr">
        <is>
          <t>主動統一台股增長</t>
        </is>
      </c>
      <c r="D100" s="33" t="n">
        <v>3100</v>
      </c>
      <c r="E100" s="33" t="n">
        <v>108</v>
      </c>
      <c r="F100" s="218" t="n">
        <v>28.7</v>
      </c>
    </row>
    <row r="101">
      <c r="B101" s="40" t="inlineStr">
        <is>
          <t>9904</t>
        </is>
      </c>
      <c r="C101" s="40" t="inlineStr">
        <is>
          <t>寶成</t>
        </is>
      </c>
      <c r="D101" s="63" t="n">
        <v>3052</v>
      </c>
      <c r="E101" s="63" t="n">
        <v>0</v>
      </c>
      <c r="F101" s="40" t="inlineStr">
        <is>
          <t>—</t>
        </is>
      </c>
    </row>
    <row r="102">
      <c r="B102" t="inlineStr">
        <is>
          <t>2881</t>
        </is>
      </c>
      <c r="C102" t="inlineStr">
        <is>
          <t>富邦金</t>
        </is>
      </c>
      <c r="D102" s="33" t="n">
        <v>2825</v>
      </c>
      <c r="E102" s="33" t="n">
        <v>3</v>
      </c>
      <c r="F102" s="218" t="n">
        <v>941.67</v>
      </c>
    </row>
    <row r="104" ht="22" customHeight="1">
      <c r="B104" s="65" t="inlineStr">
        <is>
          <t>▍ I. 未來 30 天除權息 (有效 70 檔, 已剔除過期)</t>
        </is>
      </c>
    </row>
    <row r="105">
      <c r="B105" s="60" t="inlineStr">
        <is>
          <t>除權息日</t>
        </is>
      </c>
      <c r="C105" s="60" t="inlineStr">
        <is>
          <t>代號</t>
        </is>
      </c>
      <c r="D105" s="60" t="inlineStr">
        <is>
          <t>名稱</t>
        </is>
      </c>
      <c r="E105" s="60" t="inlineStr">
        <is>
          <t>類型</t>
        </is>
      </c>
      <c r="F105" s="60" t="inlineStr">
        <is>
          <t>現金股利</t>
        </is>
      </c>
    </row>
    <row r="106">
      <c r="B106" t="inlineStr">
        <is>
          <t>20260909</t>
        </is>
      </c>
      <c r="C106" t="inlineStr">
        <is>
          <t>1438</t>
        </is>
      </c>
      <c r="D106" t="inlineStr">
        <is>
          <t>三地開發</t>
        </is>
      </c>
      <c r="E106" t="inlineStr">
        <is>
          <t>權息</t>
        </is>
      </c>
      <c r="F106" t="n">
        <v>0.2</v>
      </c>
    </row>
    <row r="107">
      <c r="B107" s="40" t="inlineStr">
        <is>
          <t>20260909</t>
        </is>
      </c>
      <c r="C107" s="40" t="inlineStr">
        <is>
          <t>3059</t>
        </is>
      </c>
      <c r="D107" s="40" t="inlineStr">
        <is>
          <t>華晶科</t>
        </is>
      </c>
      <c r="E107" s="40" t="inlineStr">
        <is>
          <t>息</t>
        </is>
      </c>
      <c r="F107" s="40" t="n">
        <v>0.998614</v>
      </c>
    </row>
    <row r="108">
      <c r="B108" t="inlineStr">
        <is>
          <t>20260909</t>
        </is>
      </c>
      <c r="C108" t="inlineStr">
        <is>
          <t>3706</t>
        </is>
      </c>
      <c r="D108" t="inlineStr">
        <is>
          <t>神達</t>
        </is>
      </c>
      <c r="E108" t="inlineStr">
        <is>
          <t>權息</t>
        </is>
      </c>
      <c r="F108" t="n">
        <v>3</v>
      </c>
    </row>
    <row r="109">
      <c r="B109" s="40" t="inlineStr">
        <is>
          <t>20260909</t>
        </is>
      </c>
      <c r="C109" s="40" t="inlineStr">
        <is>
          <t>6133</t>
        </is>
      </c>
      <c r="D109" s="40" t="inlineStr">
        <is>
          <t>金橋</t>
        </is>
      </c>
      <c r="E109" s="40" t="inlineStr">
        <is>
          <t>息</t>
        </is>
      </c>
      <c r="F109" s="40" t="n">
        <v>1</v>
      </c>
    </row>
    <row r="110">
      <c r="B110" t="inlineStr">
        <is>
          <t>20260910</t>
        </is>
      </c>
      <c r="C110" t="inlineStr">
        <is>
          <t>2062</t>
        </is>
      </c>
      <c r="D110" t="inlineStr">
        <is>
          <t>橋椿</t>
        </is>
      </c>
      <c r="E110" t="inlineStr">
        <is>
          <t>息</t>
        </is>
      </c>
      <c r="F110" t="n">
        <v>1</v>
      </c>
    </row>
    <row r="111">
      <c r="B111" s="40" t="inlineStr">
        <is>
          <t>20260910</t>
        </is>
      </c>
      <c r="C111" s="40" t="inlineStr">
        <is>
          <t>4912</t>
        </is>
      </c>
      <c r="D111" s="40" t="inlineStr">
        <is>
          <t>聯德控股-KY</t>
        </is>
      </c>
      <c r="E111" s="40" t="inlineStr">
        <is>
          <t>息</t>
        </is>
      </c>
      <c r="F111" s="40" t="n">
        <v>0.800477</v>
      </c>
    </row>
    <row r="112">
      <c r="B112" t="inlineStr">
        <is>
          <t>20260910</t>
        </is>
      </c>
      <c r="C112" t="inlineStr">
        <is>
          <t>5906</t>
        </is>
      </c>
      <c r="D112" t="inlineStr">
        <is>
          <t>台南-KY</t>
        </is>
      </c>
      <c r="E112" t="inlineStr">
        <is>
          <t>權息</t>
        </is>
      </c>
      <c r="F112" t="n">
        <v>0.2</v>
      </c>
    </row>
    <row r="113">
      <c r="B113" s="40" t="inlineStr">
        <is>
          <t>20260910</t>
        </is>
      </c>
      <c r="C113" s="40" t="inlineStr">
        <is>
          <t>6504</t>
        </is>
      </c>
      <c r="D113" s="40" t="inlineStr">
        <is>
          <t>南六</t>
        </is>
      </c>
      <c r="E113" s="40" t="inlineStr">
        <is>
          <t>息</t>
        </is>
      </c>
      <c r="F113" s="40" t="n">
        <v>1</v>
      </c>
    </row>
    <row r="114">
      <c r="B114" t="inlineStr">
        <is>
          <t>20260910</t>
        </is>
      </c>
      <c r="C114" t="inlineStr">
        <is>
          <t>9802</t>
        </is>
      </c>
      <c r="D114" t="inlineStr">
        <is>
          <t>鈺齊-KY</t>
        </is>
      </c>
      <c r="E114" t="inlineStr">
        <is>
          <t>息</t>
        </is>
      </c>
      <c r="F114" t="n">
        <v>3.1</v>
      </c>
    </row>
    <row r="115">
      <c r="B115" s="40" t="inlineStr">
        <is>
          <t>20260910</t>
        </is>
      </c>
      <c r="C115" s="40" t="inlineStr">
        <is>
          <t>9906</t>
        </is>
      </c>
      <c r="D115" s="40" t="inlineStr">
        <is>
          <t>欣巴巴</t>
        </is>
      </c>
      <c r="E115" s="40" t="inlineStr">
        <is>
          <t>權</t>
        </is>
      </c>
      <c r="F115" s="40" t="n">
        <v>0</v>
      </c>
    </row>
    <row r="116">
      <c r="B116" t="inlineStr">
        <is>
          <t>20260914</t>
        </is>
      </c>
      <c r="C116" t="inlineStr">
        <is>
          <t>00401A</t>
        </is>
      </c>
      <c r="D116" t="inlineStr">
        <is>
          <t>主動摩根台灣鑫收</t>
        </is>
      </c>
      <c r="E116" t="inlineStr">
        <is>
          <t>息</t>
        </is>
      </c>
    </row>
    <row r="117">
      <c r="B117" s="40" t="inlineStr">
        <is>
          <t>20260914</t>
        </is>
      </c>
      <c r="C117" s="40" t="inlineStr">
        <is>
          <t>2530</t>
        </is>
      </c>
      <c r="D117" s="40" t="inlineStr">
        <is>
          <t>華建</t>
        </is>
      </c>
      <c r="E117" s="40" t="inlineStr">
        <is>
          <t>息</t>
        </is>
      </c>
      <c r="F117" s="40" t="n">
        <v>0.46</v>
      </c>
    </row>
    <row r="118">
      <c r="B118" t="inlineStr">
        <is>
          <t>20260914</t>
        </is>
      </c>
      <c r="C118" t="inlineStr">
        <is>
          <t>5243</t>
        </is>
      </c>
      <c r="D118" t="inlineStr">
        <is>
          <t>乙盛-KY</t>
        </is>
      </c>
      <c r="E118" t="inlineStr">
        <is>
          <t>息</t>
        </is>
      </c>
      <c r="F118" t="n">
        <v>2.2</v>
      </c>
    </row>
    <row r="119">
      <c r="B119" s="40" t="inlineStr">
        <is>
          <t>20260915</t>
        </is>
      </c>
      <c r="C119" s="40" t="inlineStr">
        <is>
          <t>00936</t>
        </is>
      </c>
      <c r="D119" s="40" t="inlineStr">
        <is>
          <t>台新永續高息中小</t>
        </is>
      </c>
      <c r="E119" s="40" t="inlineStr">
        <is>
          <t>息</t>
        </is>
      </c>
      <c r="F119" s="40" t="n"/>
    </row>
    <row r="120">
      <c r="B120" t="inlineStr">
        <is>
          <t>20260915</t>
        </is>
      </c>
      <c r="C120" t="inlineStr">
        <is>
          <t>00962</t>
        </is>
      </c>
      <c r="D120" t="inlineStr">
        <is>
          <t>台新AI優息動能</t>
        </is>
      </c>
      <c r="E120" t="inlineStr">
        <is>
          <t>息</t>
        </is>
      </c>
    </row>
  </sheetData>
  <mergeCells count="29">
    <mergeCell ref="G28:I28"/>
    <mergeCell ref="B9:N9"/>
    <mergeCell ref="B42:J42"/>
    <mergeCell ref="B54:F54"/>
    <mergeCell ref="B33:E33"/>
    <mergeCell ref="B30:N30"/>
    <mergeCell ref="B82:J82"/>
    <mergeCell ref="C29:D29"/>
    <mergeCell ref="B4:N4"/>
    <mergeCell ref="B7:N7"/>
    <mergeCell ref="G29:I29"/>
    <mergeCell ref="B3:N3"/>
    <mergeCell ref="B6:J6"/>
    <mergeCell ref="B104:J104"/>
    <mergeCell ref="B31:N31"/>
    <mergeCell ref="B86:J86"/>
    <mergeCell ref="B12:N12"/>
    <mergeCell ref="B11:N11"/>
    <mergeCell ref="B84:F84"/>
    <mergeCell ref="B2:N2"/>
    <mergeCell ref="F33:I33"/>
    <mergeCell ref="B14:N14"/>
    <mergeCell ref="B8:N8"/>
    <mergeCell ref="B66:J66"/>
    <mergeCell ref="B13:N13"/>
    <mergeCell ref="B27:J27"/>
    <mergeCell ref="C28:D28"/>
    <mergeCell ref="B56:J56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2026/09/09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聯亞 (3081) · 11 大戶</t>
        </is>
      </c>
    </row>
    <row r="10">
      <c r="C10" s="69" t="inlineStr">
        <is>
          <t>③ 華邦電 (2344) · 12 大戶</t>
        </is>
      </c>
    </row>
    <row r="11">
      <c r="C11" s="69" t="inlineStr">
        <is>
          <t>④ 聯發科 (2454) · 11 大戶</t>
        </is>
      </c>
    </row>
    <row r="12">
      <c r="C12" s="69" t="inlineStr">
        <is>
          <t>⑤ 台燿 (6274)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(40%)</t>
        </is>
      </c>
    </row>
    <row r="16">
      <c r="C16" s="69" t="inlineStr">
        <is>
          <t>通信網路業 · 2 檔 (20%)</t>
        </is>
      </c>
    </row>
    <row r="17">
      <c r="C17" s="69" t="inlineStr">
        <is>
          <t>電子零組件業 · 2 檔 (20%)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華邦電 (2344) · 8,038 萬 (★共識)</t>
        </is>
      </c>
    </row>
    <row r="21">
      <c r="C21" s="69" t="inlineStr">
        <is>
          <t>台積電 (2330) · 6,391 萬 (★共識)</t>
        </is>
      </c>
    </row>
    <row r="22">
      <c r="C22" s="69" t="inlineStr">
        <is>
          <t>強茂 (2481) · 4,876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台積電 (2330) · 11 大戶</t>
        </is>
      </c>
    </row>
    <row r="27">
      <c r="C27" s="72" t="inlineStr">
        <is>
          <t>⚠️ 華邦電 (2344) · 12 大戶</t>
        </is>
      </c>
    </row>
    <row r="28">
      <c r="C28" s="72" t="inlineStr">
        <is>
          <t>⚠️ 聯發科 (2454) · 11 大戶</t>
        </is>
      </c>
    </row>
    <row r="29">
      <c r="C29" s="72" t="inlineStr">
        <is>
          <t>⚠️ 富喬 (1815) · 11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4 檔 (1438 / 3059 / 3706 ...)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73" t="inlineStr">
        <is>
          <t>-92 億 淨買</t>
        </is>
      </c>
    </row>
    <row r="37">
      <c r="C37" s="71" t="inlineStr">
        <is>
          <t>比昨 -211 反彈 / 比 5d -144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29/29 交易日出手 1402 次 (368 檔), 風格分布: 隔日沖近似 35% / 當沖 14% / 留倉 51%, 漲停命中 2% (其中 🔒鎖漲停 2%), 前 5 大集中 18%, 長線部位 5% (6 檔), ⚠️ 處置股部位 8% (18 檔), 📦 連續囤貨 27 檔 (最長 13 天 00984D, 5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8038</v>
      </c>
      <c r="F12" s="33" t="n">
        <v>0</v>
      </c>
      <c r="G12" s="233" t="n">
        <v>-0.0266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6391</v>
      </c>
      <c r="F13" s="33" t="n">
        <v>0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4876</v>
      </c>
      <c r="F14" s="33" t="n">
        <v>0</v>
      </c>
      <c r="G14" s="233" t="n">
        <v>-0.0033</v>
      </c>
    </row>
    <row r="15">
      <c r="B15" t="n">
        <v>4</v>
      </c>
      <c r="C15" t="inlineStr">
        <is>
          <t>6223</t>
        </is>
      </c>
      <c r="D15" t="inlineStr">
        <is>
          <t>旺矽</t>
        </is>
      </c>
      <c r="E15" s="33" t="n">
        <v>4381</v>
      </c>
      <c r="F15" s="33" t="n">
        <v>0</v>
      </c>
      <c r="G15" s="233" t="n">
        <v>-0.0311</v>
      </c>
    </row>
    <row r="16">
      <c r="B16" t="n">
        <v>5</v>
      </c>
      <c r="C16" t="inlineStr">
        <is>
          <t>2454</t>
        </is>
      </c>
      <c r="D16" t="inlineStr">
        <is>
          <t>聯發科</t>
        </is>
      </c>
      <c r="E16" s="33" t="n">
        <v>4225</v>
      </c>
      <c r="F16" s="33" t="n">
        <v>0</v>
      </c>
      <c r="G16" s="233" t="n">
        <v>-0.018</v>
      </c>
    </row>
    <row r="17">
      <c r="B17" t="n">
        <v>6</v>
      </c>
      <c r="C17" t="inlineStr">
        <is>
          <t>3661</t>
        </is>
      </c>
      <c r="D17" t="inlineStr">
        <is>
          <t>世芯-KY</t>
        </is>
      </c>
      <c r="E17" s="33" t="n">
        <v>3736</v>
      </c>
      <c r="F17" s="33" t="n">
        <v>0</v>
      </c>
      <c r="G17" s="233" t="n">
        <v>-0.0434</v>
      </c>
    </row>
    <row r="18">
      <c r="B18" t="n">
        <v>7</v>
      </c>
      <c r="C18" t="inlineStr">
        <is>
          <t>6442</t>
        </is>
      </c>
      <c r="D18" t="inlineStr">
        <is>
          <t>光聖</t>
        </is>
      </c>
      <c r="E18" s="33" t="n">
        <v>3309</v>
      </c>
      <c r="F18" s="33" t="n">
        <v>0</v>
      </c>
      <c r="G18" s="215" t="n">
        <v>0.0737</v>
      </c>
    </row>
    <row r="19">
      <c r="B19" t="n">
        <v>8</v>
      </c>
      <c r="C19" t="inlineStr">
        <is>
          <t>4979</t>
        </is>
      </c>
      <c r="D19" t="inlineStr">
        <is>
          <t>華星光</t>
        </is>
      </c>
      <c r="E19" s="33" t="n">
        <v>3193</v>
      </c>
      <c r="F19" s="33" t="n">
        <v>0</v>
      </c>
      <c r="G19" s="215" t="n">
        <v>0.0083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2504</v>
      </c>
      <c r="F20" s="33" t="n">
        <v>0</v>
      </c>
      <c r="G20" s="233" t="n">
        <v>-0.0052</v>
      </c>
    </row>
    <row r="21">
      <c r="B21" t="n">
        <v>10</v>
      </c>
      <c r="C21" t="inlineStr">
        <is>
          <t>3017</t>
        </is>
      </c>
      <c r="D21" t="inlineStr">
        <is>
          <t>奇鋐</t>
        </is>
      </c>
      <c r="E21" s="33" t="n">
        <v>2394</v>
      </c>
      <c r="F21" s="33" t="n">
        <v>0</v>
      </c>
      <c r="G21" s="215" t="n">
        <v>0.0289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台積電(2330)</t>
        </is>
      </c>
      <c r="E17" s="113" t="n">
        <v>0</v>
      </c>
      <c r="F17" s="113" t="n">
        <v>0</v>
      </c>
      <c r="G17" s="113" t="n">
        <v>3170</v>
      </c>
      <c r="H17" s="113" t="n">
        <v>477</v>
      </c>
      <c r="I17" s="113" t="n">
        <v>2693</v>
      </c>
      <c r="J17" s="114" t="n">
        <v>0</v>
      </c>
      <c r="K17" s="114" t="n">
        <v>0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健策(3653)</t>
        </is>
      </c>
      <c r="E22" s="113" t="n">
        <v>0</v>
      </c>
      <c r="F22" s="113" t="n">
        <v>0</v>
      </c>
      <c r="G22" s="113" t="n">
        <v>1731</v>
      </c>
      <c r="H22" s="113" t="n">
        <v>1179</v>
      </c>
      <c r="I22" s="113" t="n">
        <v>552</v>
      </c>
      <c r="J22" s="114" t="n">
        <v>0</v>
      </c>
      <c r="K22" s="114" t="n">
        <v>0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藥華藥(6446)</t>
        </is>
      </c>
      <c r="E34" s="113" t="n">
        <v>0</v>
      </c>
      <c r="F34" s="113" t="n">
        <v>0</v>
      </c>
      <c r="G34" s="113" t="n">
        <v>371</v>
      </c>
      <c r="H34" s="113" t="n">
        <v>134</v>
      </c>
      <c r="I34" s="113" t="n">
        <v>237</v>
      </c>
      <c r="J34" s="114" t="n">
        <v>0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台積電(2330)</t>
        </is>
      </c>
      <c r="E37" s="122" t="n">
        <v>0</v>
      </c>
      <c r="F37" s="122" t="n">
        <v>0</v>
      </c>
      <c r="G37" s="122" t="n">
        <v>9892</v>
      </c>
      <c r="H37" s="122" t="n">
        <v>9325</v>
      </c>
      <c r="I37" s="122" t="n">
        <v>567</v>
      </c>
      <c r="J37" s="123" t="n">
        <v>0</v>
      </c>
      <c r="K37" s="123" t="n">
        <v>0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世芯-KY(3661)</t>
        </is>
      </c>
      <c r="E38" s="122" t="n">
        <v>18</v>
      </c>
      <c r="F38" s="122" t="n">
        <v>9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3669.78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0</v>
      </c>
      <c r="F47" s="122" t="n">
        <v>0</v>
      </c>
      <c r="G47" s="122" t="n">
        <v>3924</v>
      </c>
      <c r="H47" s="122" t="n">
        <v>63</v>
      </c>
      <c r="I47" s="122" t="n">
        <v>3861</v>
      </c>
      <c r="J47" s="123" t="n">
        <v>0</v>
      </c>
      <c r="K47" s="123" t="n">
        <v>0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嘉澤(3533)</t>
        </is>
      </c>
      <c r="E52" s="122" t="n">
        <v>0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0</v>
      </c>
      <c r="K52" s="123" t="n">
        <v>0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欣興(3037)</t>
        </is>
      </c>
      <c r="E65" s="122" t="n">
        <v>27</v>
      </c>
      <c r="F65" s="122" t="n">
        <v>0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0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健策(3653)</t>
        </is>
      </c>
      <c r="E74" s="122" t="n">
        <v>0</v>
      </c>
      <c r="F74" s="122" t="n">
        <v>0</v>
      </c>
      <c r="G74" s="122" t="n">
        <v>2875</v>
      </c>
      <c r="H74" s="122" t="n">
        <v>1168</v>
      </c>
      <c r="I74" s="122" t="n">
        <v>1707</v>
      </c>
      <c r="J74" s="123" t="n">
        <v>0</v>
      </c>
      <c r="K74" s="123" t="n">
        <v>0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台積電(2330)</t>
        </is>
      </c>
      <c r="E78" s="122" t="n">
        <v>0</v>
      </c>
      <c r="F78" s="122" t="n">
        <v>0</v>
      </c>
      <c r="G78" s="122" t="n">
        <v>2272</v>
      </c>
      <c r="H78" s="122" t="n">
        <v>107</v>
      </c>
      <c r="I78" s="122" t="n">
        <v>2165</v>
      </c>
      <c r="J78" s="123" t="n">
        <v>0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台積電(2330)</t>
        </is>
      </c>
      <c r="E97" s="129" t="n">
        <v>0</v>
      </c>
      <c r="F97" s="129" t="n">
        <v>0</v>
      </c>
      <c r="G97" s="129" t="n">
        <v>2107</v>
      </c>
      <c r="H97" s="129" t="n">
        <v>525</v>
      </c>
      <c r="I97" s="129" t="n">
        <v>1582</v>
      </c>
      <c r="J97" s="130" t="n">
        <v>0</v>
      </c>
      <c r="K97" s="130" t="n">
        <v>0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台積電(2330)</t>
        </is>
      </c>
      <c r="E107" s="129" t="n">
        <v>0</v>
      </c>
      <c r="F107" s="129" t="n">
        <v>0</v>
      </c>
      <c r="G107" s="129" t="n">
        <v>7933</v>
      </c>
      <c r="H107" s="129" t="n">
        <v>2667</v>
      </c>
      <c r="I107" s="129" t="n">
        <v>5266</v>
      </c>
      <c r="J107" s="130" t="n">
        <v>0</v>
      </c>
      <c r="K107" s="130" t="n">
        <v>0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漢唐(2404)</t>
        </is>
      </c>
      <c r="E119" s="129" t="n">
        <v>0</v>
      </c>
      <c r="F119" s="129" t="n">
        <v>0</v>
      </c>
      <c r="G119" s="129" t="n">
        <v>960</v>
      </c>
      <c r="H119" s="129" t="n">
        <v>1</v>
      </c>
      <c r="I119" s="129" t="n">
        <v>959</v>
      </c>
      <c r="J119" s="130" t="n">
        <v>0</v>
      </c>
      <c r="K119" s="130" t="n">
        <v>0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0</v>
      </c>
      <c r="F129" s="129" t="n">
        <v>0</v>
      </c>
      <c r="G129" s="129" t="n">
        <v>1899</v>
      </c>
      <c r="H129" s="129" t="n">
        <v>760</v>
      </c>
      <c r="I129" s="129" t="n">
        <v>1139</v>
      </c>
      <c r="J129" s="130" t="n">
        <v>0</v>
      </c>
      <c r="K129" s="130" t="n">
        <v>0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臻鼎-KY(4958)</t>
        </is>
      </c>
      <c r="E131" s="129" t="n">
        <v>0</v>
      </c>
      <c r="F131" s="129" t="n">
        <v>0</v>
      </c>
      <c r="G131" s="129" t="n">
        <v>1663</v>
      </c>
      <c r="H131" s="129" t="n">
        <v>897</v>
      </c>
      <c r="I131" s="129" t="n">
        <v>766</v>
      </c>
      <c r="J131" s="130" t="n">
        <v>0</v>
      </c>
      <c r="K131" s="130" t="n">
        <v>0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健策(3653)</t>
        </is>
      </c>
      <c r="E137" s="129" t="n">
        <v>0</v>
      </c>
      <c r="F137" s="129" t="n">
        <v>0</v>
      </c>
      <c r="G137" s="129" t="n">
        <v>33517</v>
      </c>
      <c r="H137" s="129" t="n">
        <v>7175</v>
      </c>
      <c r="I137" s="129" t="n">
        <v>26342</v>
      </c>
      <c r="J137" s="130" t="n">
        <v>0</v>
      </c>
      <c r="K137" s="130" t="n">
        <v>0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華新科(2492)</t>
        </is>
      </c>
      <c r="E139" s="129" t="n">
        <v>0</v>
      </c>
      <c r="F139" s="129" t="n">
        <v>0</v>
      </c>
      <c r="G139" s="129" t="n">
        <v>28365</v>
      </c>
      <c r="H139" s="129" t="n">
        <v>22427</v>
      </c>
      <c r="I139" s="129" t="n">
        <v>5938</v>
      </c>
      <c r="J139" s="130" t="n">
        <v>0</v>
      </c>
      <c r="K139" s="130" t="n">
        <v>0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台積電(2330)</t>
        </is>
      </c>
      <c r="E140" s="129" t="n">
        <v>0</v>
      </c>
      <c r="F140" s="129" t="n">
        <v>0</v>
      </c>
      <c r="G140" s="129" t="n">
        <v>28070</v>
      </c>
      <c r="H140" s="129" t="n">
        <v>16824</v>
      </c>
      <c r="I140" s="129" t="n">
        <v>11246</v>
      </c>
      <c r="J140" s="130" t="n">
        <v>0</v>
      </c>
      <c r="K140" s="130" t="n">
        <v>0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台積電(2330)</t>
        </is>
      </c>
      <c r="E149" s="136" t="n">
        <v>0</v>
      </c>
      <c r="F149" s="136" t="n">
        <v>0</v>
      </c>
      <c r="G149" s="136" t="n">
        <v>27232</v>
      </c>
      <c r="H149" s="136" t="n">
        <v>16217</v>
      </c>
      <c r="I149" s="136" t="n">
        <v>11015</v>
      </c>
      <c r="J149" s="137" t="n">
        <v>0</v>
      </c>
      <c r="K149" s="137" t="n">
        <v>0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健策(3653)</t>
        </is>
      </c>
      <c r="E159" s="136" t="n">
        <v>0</v>
      </c>
      <c r="F159" s="136" t="n">
        <v>0</v>
      </c>
      <c r="G159" s="136" t="n">
        <v>18596</v>
      </c>
      <c r="H159" s="136" t="n">
        <v>3181</v>
      </c>
      <c r="I159" s="136" t="n">
        <v>15415</v>
      </c>
      <c r="J159" s="137" t="n">
        <v>0</v>
      </c>
      <c r="K159" s="137" t="n">
        <v>0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台積電(2330)</t>
        </is>
      </c>
      <c r="E161" s="136" t="n">
        <v>0</v>
      </c>
      <c r="F161" s="136" t="n">
        <v>0</v>
      </c>
      <c r="G161" s="136" t="n">
        <v>16070</v>
      </c>
      <c r="H161" s="136" t="n">
        <v>6172</v>
      </c>
      <c r="I161" s="136" t="n">
        <v>9898</v>
      </c>
      <c r="J161" s="137" t="n">
        <v>0</v>
      </c>
      <c r="K161" s="137" t="n">
        <v>0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健策(3653)</t>
        </is>
      </c>
      <c r="E173" s="136" t="n">
        <v>0</v>
      </c>
      <c r="F173" s="136" t="n">
        <v>0</v>
      </c>
      <c r="G173" s="136" t="n">
        <v>2875</v>
      </c>
      <c r="H173" s="136" t="n">
        <v>1168</v>
      </c>
      <c r="I173" s="136" t="n">
        <v>1707</v>
      </c>
      <c r="J173" s="137" t="n">
        <v>0</v>
      </c>
      <c r="K173" s="137" t="n">
        <v>0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台積電(2330)</t>
        </is>
      </c>
      <c r="E177" s="136" t="n">
        <v>0</v>
      </c>
      <c r="F177" s="136" t="n">
        <v>0</v>
      </c>
      <c r="G177" s="136" t="n">
        <v>2272</v>
      </c>
      <c r="H177" s="136" t="n">
        <v>107</v>
      </c>
      <c r="I177" s="136" t="n">
        <v>2165</v>
      </c>
      <c r="J177" s="137" t="n">
        <v>0</v>
      </c>
      <c r="K177" s="137" t="n">
        <v>0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世芯-KY(3661)</t>
        </is>
      </c>
      <c r="E185" s="136" t="n">
        <v>9</v>
      </c>
      <c r="F185" s="136" t="n">
        <v>7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3607.86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台積電(2330)</t>
        </is>
      </c>
      <c r="E186" s="136" t="n">
        <v>0</v>
      </c>
      <c r="F186" s="136" t="n">
        <v>0</v>
      </c>
      <c r="G186" s="136" t="n">
        <v>3084</v>
      </c>
      <c r="H186" s="136" t="n">
        <v>1327</v>
      </c>
      <c r="I186" s="136" t="n">
        <v>1757</v>
      </c>
      <c r="J186" s="137" t="n">
        <v>0</v>
      </c>
      <c r="K186" s="137" t="n">
        <v>0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76</v>
      </c>
      <c r="F190" s="136" t="n">
        <v>61</v>
      </c>
      <c r="G190" s="136" t="n">
        <v>3962</v>
      </c>
      <c r="H190" s="136" t="n">
        <v>3246</v>
      </c>
      <c r="I190" s="136" t="n">
        <v>716</v>
      </c>
      <c r="J190" s="137" t="n">
        <v>521.37</v>
      </c>
      <c r="K190" s="137" t="n">
        <v>532.21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臻鼎-KY(4958)</t>
        </is>
      </c>
      <c r="E191" s="136" t="n">
        <v>78</v>
      </c>
      <c r="F191" s="136" t="n">
        <v>28</v>
      </c>
      <c r="G191" s="136" t="n">
        <v>3956</v>
      </c>
      <c r="H191" s="136" t="n">
        <v>1392</v>
      </c>
      <c r="I191" s="136" t="n">
        <v>2564</v>
      </c>
      <c r="J191" s="137" t="n">
        <v>507.15</v>
      </c>
      <c r="K191" s="137" t="n">
        <v>497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台達電(2308)</t>
        </is>
      </c>
      <c r="E192" s="136" t="n">
        <v>16</v>
      </c>
      <c r="F192" s="136" t="n">
        <v>4</v>
      </c>
      <c r="G192" s="136" t="n">
        <v>2849</v>
      </c>
      <c r="H192" s="136" t="n">
        <v>660</v>
      </c>
      <c r="I192" s="136" t="n">
        <v>2189</v>
      </c>
      <c r="J192" s="137" t="n">
        <v>1780.44</v>
      </c>
      <c r="K192" s="137" t="n">
        <v>1648.75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台積電(2330)</t>
        </is>
      </c>
      <c r="E193" s="136" t="n">
        <v>0</v>
      </c>
      <c r="F193" s="136" t="n">
        <v>0</v>
      </c>
      <c r="G193" s="136" t="n">
        <v>1940</v>
      </c>
      <c r="H193" s="136" t="n">
        <v>1068</v>
      </c>
      <c r="I193" s="136" t="n">
        <v>872</v>
      </c>
      <c r="J193" s="137" t="n">
        <v>0</v>
      </c>
      <c r="K193" s="137" t="n">
        <v>0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禾伸堂(3026)</t>
        </is>
      </c>
      <c r="E194" s="136" t="n">
        <v>24</v>
      </c>
      <c r="F194" s="136" t="n">
        <v>5</v>
      </c>
      <c r="G194" s="136" t="n">
        <v>1868</v>
      </c>
      <c r="H194" s="136" t="n">
        <v>384</v>
      </c>
      <c r="I194" s="136" t="n">
        <v>1484</v>
      </c>
      <c r="J194" s="137" t="n">
        <v>778.54</v>
      </c>
      <c r="K194" s="137" t="n">
        <v>769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國巨*(2327)</t>
        </is>
      </c>
      <c r="E195" s="136" t="n">
        <v>32</v>
      </c>
      <c r="F195" s="136" t="n">
        <v>20</v>
      </c>
      <c r="G195" s="136" t="n">
        <v>1784</v>
      </c>
      <c r="H195" s="136" t="n">
        <v>1156</v>
      </c>
      <c r="I195" s="136" t="n">
        <v>628</v>
      </c>
      <c r="J195" s="137" t="n">
        <v>557.34</v>
      </c>
      <c r="K195" s="137" t="n">
        <v>578.2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萬潤(6187)</t>
        </is>
      </c>
      <c r="E196" s="136" t="n">
        <v>11</v>
      </c>
      <c r="F196" s="136" t="n">
        <v>9</v>
      </c>
      <c r="G196" s="136" t="n">
        <v>1528</v>
      </c>
      <c r="H196" s="136" t="n">
        <v>1201</v>
      </c>
      <c r="I196" s="136" t="n">
        <v>327</v>
      </c>
      <c r="J196" s="137" t="n">
        <v>1389.36</v>
      </c>
      <c r="K196" s="137" t="n">
        <v>1334.56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聯亞(3081)</t>
        </is>
      </c>
      <c r="E197" s="136" t="n">
        <v>5</v>
      </c>
      <c r="F197" s="136" t="n">
        <v>2</v>
      </c>
      <c r="G197" s="136" t="n">
        <v>1478</v>
      </c>
      <c r="H197" s="136" t="n">
        <v>607</v>
      </c>
      <c r="I197" s="136" t="n">
        <v>871</v>
      </c>
      <c r="J197" s="137" t="n">
        <v>2955.8</v>
      </c>
      <c r="K197" s="137" t="n">
        <v>3037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聯發科(2454)</t>
        </is>
      </c>
      <c r="E198" s="136" t="n">
        <v>2</v>
      </c>
      <c r="F198" s="136" t="n">
        <v>1</v>
      </c>
      <c r="G198" s="136" t="n">
        <v>1150</v>
      </c>
      <c r="H198" s="136" t="n">
        <v>662</v>
      </c>
      <c r="I198" s="136" t="n">
        <v>488</v>
      </c>
      <c r="J198" s="137" t="n">
        <v>5749</v>
      </c>
      <c r="K198" s="137" t="n">
        <v>6615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友達(2409)</t>
        </is>
      </c>
      <c r="E199" s="136" t="n">
        <v>336</v>
      </c>
      <c r="F199" s="136" t="n">
        <v>292</v>
      </c>
      <c r="G199" s="136" t="n">
        <v>1057</v>
      </c>
      <c r="H199" s="136" t="n">
        <v>918</v>
      </c>
      <c r="I199" s="136" t="n">
        <v>139</v>
      </c>
      <c r="J199" s="137" t="n">
        <v>31.45</v>
      </c>
      <c r="K199" s="137" t="n">
        <v>31.45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光聖(6442)</t>
        </is>
      </c>
      <c r="E217" s="143" t="n">
        <v>102</v>
      </c>
      <c r="F217" s="143" t="n">
        <v>54</v>
      </c>
      <c r="G217" s="143" t="n">
        <v>18540</v>
      </c>
      <c r="H217" s="143" t="n">
        <v>9816</v>
      </c>
      <c r="I217" s="143" t="n">
        <v>8724</v>
      </c>
      <c r="J217" s="144" t="n">
        <v>1817.62</v>
      </c>
      <c r="K217" s="144" t="n">
        <v>1817.69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0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0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健策(3653)</t>
        </is>
      </c>
      <c r="E239" s="143" t="n">
        <v>0</v>
      </c>
      <c r="F239" s="143" t="n">
        <v>0</v>
      </c>
      <c r="G239" s="143" t="n">
        <v>1148</v>
      </c>
      <c r="H239" s="143" t="n">
        <v>1</v>
      </c>
      <c r="I239" s="143" t="n">
        <v>1147</v>
      </c>
      <c r="J239" s="144" t="n">
        <v>0</v>
      </c>
      <c r="K239" s="144" t="n">
        <v>0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順德(2351)</t>
        </is>
      </c>
      <c r="E241" s="143" t="n">
        <v>40</v>
      </c>
      <c r="F241" s="143" t="n">
        <v>0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0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台積電(2330)</t>
        </is>
      </c>
      <c r="E250" s="150" t="n">
        <v>0</v>
      </c>
      <c r="F250" s="150" t="n">
        <v>0</v>
      </c>
      <c r="G250" s="150" t="n">
        <v>1411</v>
      </c>
      <c r="H250" s="150" t="n">
        <v>411</v>
      </c>
      <c r="I250" s="150" t="n">
        <v>1000</v>
      </c>
      <c r="J250" s="151" t="n">
        <v>0</v>
      </c>
      <c r="K250" s="151" t="n">
        <v>0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欣興(3037)</t>
        </is>
      </c>
      <c r="E276" s="150" t="n">
        <v>0</v>
      </c>
      <c r="F276" s="150" t="n">
        <v>0</v>
      </c>
      <c r="G276" s="150" t="n">
        <v>30465</v>
      </c>
      <c r="H276" s="150" t="n">
        <v>11305</v>
      </c>
      <c r="I276" s="150" t="n">
        <v>19160</v>
      </c>
      <c r="J276" s="151" t="n">
        <v>0</v>
      </c>
      <c r="K276" s="151" t="n">
        <v>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台積電(2330)</t>
        </is>
      </c>
      <c r="E279" s="157" t="n">
        <v>0</v>
      </c>
      <c r="F279" s="157" t="n">
        <v>0</v>
      </c>
      <c r="G279" s="157" t="n">
        <v>6627</v>
      </c>
      <c r="H279" s="157" t="n">
        <v>1112</v>
      </c>
      <c r="I279" s="157" t="n">
        <v>5515</v>
      </c>
      <c r="J279" s="158" t="n">
        <v>0</v>
      </c>
      <c r="K279" s="158" t="n">
        <v>0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台積電(2330)</t>
        </is>
      </c>
      <c r="E306" s="163" t="n">
        <v>0</v>
      </c>
      <c r="F306" s="163" t="n">
        <v>0</v>
      </c>
      <c r="G306" s="163" t="n">
        <v>2107</v>
      </c>
      <c r="H306" s="163" t="n">
        <v>525</v>
      </c>
      <c r="I306" s="163" t="n">
        <v>1582</v>
      </c>
      <c r="J306" s="164" t="n">
        <v>0</v>
      </c>
      <c r="K306" s="164" t="n">
        <v>0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聯友金屬-創(7610)</t>
        </is>
      </c>
      <c r="E348" s="163" t="n">
        <v>0</v>
      </c>
      <c r="F348" s="163" t="n">
        <v>0</v>
      </c>
      <c r="G348" s="163" t="n">
        <v>1491</v>
      </c>
      <c r="H348" s="163" t="n">
        <v>1055</v>
      </c>
      <c r="I348" s="163" t="n">
        <v>436</v>
      </c>
      <c r="J348" s="164" t="n">
        <v>0</v>
      </c>
      <c r="K348" s="164" t="n">
        <v>0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台光電(2383)</t>
        </is>
      </c>
      <c r="E356" s="163" t="n">
        <v>0</v>
      </c>
      <c r="F356" s="163" t="n">
        <v>0</v>
      </c>
      <c r="G356" s="163" t="n">
        <v>2207</v>
      </c>
      <c r="H356" s="163" t="n">
        <v>1174</v>
      </c>
      <c r="I356" s="163" t="n">
        <v>1033</v>
      </c>
      <c r="J356" s="164" t="n">
        <v>0</v>
      </c>
      <c r="K356" s="164" t="n">
        <v>0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臻鼎-KY(4958)</t>
        </is>
      </c>
      <c r="E364" s="163" t="n">
        <v>0</v>
      </c>
      <c r="F364" s="163" t="n">
        <v>0</v>
      </c>
      <c r="G364" s="163" t="n">
        <v>838</v>
      </c>
      <c r="H364" s="163" t="n">
        <v>616</v>
      </c>
      <c r="I364" s="163" t="n">
        <v>222</v>
      </c>
      <c r="J364" s="164" t="n">
        <v>0</v>
      </c>
      <c r="K364" s="164" t="n">
        <v>0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華新科(2492)</t>
        </is>
      </c>
      <c r="E386" s="176" t="n">
        <v>0</v>
      </c>
      <c r="F386" s="176" t="n">
        <v>0</v>
      </c>
      <c r="G386" s="176" t="n">
        <v>708</v>
      </c>
      <c r="H386" s="176" t="n">
        <v>447</v>
      </c>
      <c r="I386" s="176" t="n">
        <v>261</v>
      </c>
      <c r="J386" s="177" t="n">
        <v>0</v>
      </c>
      <c r="K386" s="177" t="n">
        <v>0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台虹(8039)</t>
        </is>
      </c>
      <c r="E407" s="176" t="n">
        <v>0</v>
      </c>
      <c r="F407" s="176" t="n">
        <v>0</v>
      </c>
      <c r="G407" s="176" t="n">
        <v>850</v>
      </c>
      <c r="H407" s="176" t="n">
        <v>667</v>
      </c>
      <c r="I407" s="176" t="n">
        <v>183</v>
      </c>
      <c r="J407" s="177" t="n">
        <v>0</v>
      </c>
      <c r="K407" s="177" t="n">
        <v>0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A414" s="185" t="n"/>
      <c r="B414" s="185" t="n"/>
      <c r="C414" s="185" t="n"/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玉晶光(3406)</t>
        </is>
      </c>
      <c r="E422" s="183" t="n">
        <v>24</v>
      </c>
      <c r="F422" s="183" t="n">
        <v>3</v>
      </c>
      <c r="G422" s="183" t="n">
        <v>2583</v>
      </c>
      <c r="H422" s="183" t="n">
        <v>366</v>
      </c>
      <c r="I422" s="183" t="n">
        <v>2217</v>
      </c>
      <c r="J422" s="184" t="n">
        <v>1076.25</v>
      </c>
      <c r="K422" s="184" t="n">
        <v>1221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青雲(5386)</t>
        </is>
      </c>
      <c r="E423" s="183" t="n">
        <v>50</v>
      </c>
      <c r="F423" s="183" t="n">
        <v>1</v>
      </c>
      <c r="G423" s="183" t="n">
        <v>1415</v>
      </c>
      <c r="H423" s="183" t="n">
        <v>28</v>
      </c>
      <c r="I423" s="183" t="n">
        <v>1387</v>
      </c>
      <c r="J423" s="184" t="n">
        <v>283</v>
      </c>
      <c r="K423" s="184" t="n">
        <v>283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亞通(6179)</t>
        </is>
      </c>
      <c r="E424" s="183" t="n">
        <v>145</v>
      </c>
      <c r="F424" s="183" t="n">
        <v>52</v>
      </c>
      <c r="G424" s="183" t="n">
        <v>493</v>
      </c>
      <c r="H424" s="183" t="n">
        <v>181</v>
      </c>
      <c r="I424" s="183" t="n">
        <v>312</v>
      </c>
      <c r="J424" s="184" t="n">
        <v>33.99</v>
      </c>
      <c r="K424" s="184" t="n">
        <v>34.87</v>
      </c>
      <c r="L424" s="236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世紀*(5314)</t>
        </is>
      </c>
      <c r="E425" s="183" t="n">
        <v>45</v>
      </c>
      <c r="F425" s="183" t="n">
        <v>4</v>
      </c>
      <c r="G425" s="183" t="n">
        <v>192</v>
      </c>
      <c r="H425" s="183" t="n">
        <v>17</v>
      </c>
      <c r="I425" s="183" t="n">
        <v>175</v>
      </c>
      <c r="J425" s="184" t="n">
        <v>42.56</v>
      </c>
      <c r="K425" s="184" t="n">
        <v>42.5</v>
      </c>
      <c r="L425" s="235">
        <f>F425*(K425-J425)</f>
        <v/>
      </c>
    </row>
    <row r="426" ht="16.5" customHeight="1">
      <c r="A426" s="185" t="n"/>
      <c r="B426" s="185" t="n"/>
      <c r="C426" s="185" t="n"/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台積電(2330)</t>
        </is>
      </c>
      <c r="E444" s="197" t="n">
        <v>0</v>
      </c>
      <c r="F444" s="197" t="n">
        <v>0</v>
      </c>
      <c r="G444" s="197" t="n">
        <v>6391</v>
      </c>
      <c r="H444" s="197" t="n">
        <v>5366</v>
      </c>
      <c r="I444" s="197" t="n">
        <v>1025</v>
      </c>
      <c r="J444" s="198" t="n">
        <v>0</v>
      </c>
      <c r="K444" s="198" t="n">
        <v>0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光聖(6442)</t>
        </is>
      </c>
      <c r="E449" s="197" t="n">
        <v>18</v>
      </c>
      <c r="F449" s="197" t="n">
        <v>16</v>
      </c>
      <c r="G449" s="197" t="n">
        <v>3309</v>
      </c>
      <c r="H449" s="197" t="n">
        <v>2846</v>
      </c>
      <c r="I449" s="197" t="n">
        <v>463</v>
      </c>
      <c r="J449" s="198" t="n">
        <v>1838.11</v>
      </c>
      <c r="K449" s="198" t="n">
        <v>1779.06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台光電(2383)</t>
        </is>
      </c>
      <c r="E455" s="197" t="n">
        <v>0</v>
      </c>
      <c r="F455" s="197" t="n">
        <v>0</v>
      </c>
      <c r="G455" s="197" t="n">
        <v>1711</v>
      </c>
      <c r="H455" s="197" t="n">
        <v>1048</v>
      </c>
      <c r="I455" s="197" t="n">
        <v>663</v>
      </c>
      <c r="J455" s="198" t="n">
        <v>0</v>
      </c>
      <c r="K455" s="198" t="n">
        <v>0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台積電(2330)</t>
        </is>
      </c>
      <c r="E468" s="203" t="n">
        <v>0</v>
      </c>
      <c r="F468" s="203" t="n">
        <v>0</v>
      </c>
      <c r="G468" s="203" t="n">
        <v>2974</v>
      </c>
      <c r="H468" s="203" t="n">
        <v>1138</v>
      </c>
      <c r="I468" s="203" t="n">
        <v>1836</v>
      </c>
      <c r="J468" s="204" t="n">
        <v>0</v>
      </c>
      <c r="K468" s="204" t="n">
        <v>0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世芯-KY(3661)</t>
        </is>
      </c>
      <c r="E478" s="203" t="n">
        <v>6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3561.5</v>
      </c>
      <c r="K478" s="204" t="n">
        <v>4054</v>
      </c>
      <c r="L478" s="236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18:11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2026-09-09T18:11:59Z</dcterms:modified>
</cp:coreProperties>
</file>