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59.9%
  • 領頭金額 61,392 萬
  • 合計淨買 102,513 萬
  • 大戶數 10 位 (名義共識)
判讀: 名義 10 位大戶共識,
實質 1 人下注佔 60%,
剩餘 9 位為陪襯小單,
真共識訊號被稀釋.</t>
      </text>
    </comment>
    <comment ref="D24" authorId="0" shapeId="0">
      <text>
        <t>⚠️ 假共識警示
領頭大戶「陳族元」獨佔比 61.0%
  • 領頭金額 15,108 萬
  • 合計淨買 24,763 萬
  • 大戶數 11 位 (名義共識)
判讀: 名義 11 位大戶共識,
實質 1 人下注佔 61%,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2026/10/22 (追蹤 13 位大戶)</t>
        </is>
      </c>
    </row>
    <row r="3" ht="24" customHeight="1">
      <c r="B3" s="2" t="inlineStr">
        <is>
          <t>🎯 11 強共識 / Q5 ↓ 偏空 10% / E 8 異常 / F 6 長期 / J 0 集中 / H 1 借券壓力</t>
        </is>
      </c>
    </row>
    <row r="4" ht="22" customHeight="1">
      <c r="B4" s="3" t="inlineStr">
        <is>
          <t>💡 📌 一般共識 2330 / 6213 / 3711 (Q5 偏空, 中性信號)  |  避開 —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(45%)  |  半導體業 4 (36%)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30</v>
      </c>
      <c r="G16" s="16" t="inlineStr">
        <is>
          <t>張濬安</t>
        </is>
      </c>
      <c r="H16" s="17" t="n">
        <v>111602</v>
      </c>
      <c r="I16" t="inlineStr">
        <is>
          <t>陳族元</t>
        </is>
      </c>
      <c r="J16" s="18" t="n">
        <v>81011</v>
      </c>
      <c r="K16" t="inlineStr">
        <is>
          <t>林滄海</t>
        </is>
      </c>
      <c r="L16" s="18" t="n">
        <v>40812</v>
      </c>
      <c r="M16" s="19" t="n">
        <v>10</v>
      </c>
      <c r="N16" s="17" t="n">
        <v>305874</v>
      </c>
    </row>
    <row r="17">
      <c r="B17" s="13" t="n">
        <v>2</v>
      </c>
      <c r="C17" t="inlineStr">
        <is>
          <t>6213</t>
        </is>
      </c>
      <c r="D17" s="21" t="inlineStr">
        <is>
          <t>📌 ⚠️ 聯茂</t>
        </is>
      </c>
      <c r="E17" s="14" t="n">
        <v>10</v>
      </c>
      <c r="F17" s="15" t="n">
        <v>18</v>
      </c>
      <c r="G17" s="16" t="inlineStr">
        <is>
          <t>張濬安</t>
        </is>
      </c>
      <c r="H17" s="17" t="n">
        <v>61392</v>
      </c>
      <c r="I17" t="inlineStr">
        <is>
          <t>陳族元</t>
        </is>
      </c>
      <c r="J17" s="18" t="n">
        <v>15559</v>
      </c>
      <c r="K17" t="inlineStr">
        <is>
          <t>蔣承翰</t>
        </is>
      </c>
      <c r="L17" s="18" t="n">
        <v>12948</v>
      </c>
      <c r="M17" s="19" t="n">
        <v>7</v>
      </c>
      <c r="N17" s="17" t="n">
        <v>102513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32792</v>
      </c>
      <c r="I18" t="inlineStr">
        <is>
          <t>張濬安</t>
        </is>
      </c>
      <c r="J18" s="18" t="n">
        <v>24677</v>
      </c>
      <c r="K18" t="inlineStr">
        <is>
          <t>強森</t>
        </is>
      </c>
      <c r="L18" s="18" t="n">
        <v>4675</v>
      </c>
      <c r="M18" s="19" t="n">
        <v>7</v>
      </c>
      <c r="N18" s="17" t="n">
        <v>71225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23</v>
      </c>
      <c r="G19" s="16" t="inlineStr">
        <is>
          <t>林滄海</t>
        </is>
      </c>
      <c r="H19" s="17" t="n">
        <v>23979</v>
      </c>
      <c r="I19" t="inlineStr">
        <is>
          <t>陳族元</t>
        </is>
      </c>
      <c r="J19" s="18" t="n">
        <v>13692</v>
      </c>
      <c r="K19" t="inlineStr">
        <is>
          <t>巨人傑</t>
        </is>
      </c>
      <c r="L19" s="18" t="n">
        <v>5359</v>
      </c>
      <c r="M19" s="19" t="n">
        <v>8</v>
      </c>
      <c r="N19" s="17" t="n">
        <v>58175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13</v>
      </c>
      <c r="F20" s="15" t="n">
        <v>29</v>
      </c>
      <c r="G20" s="16" t="inlineStr">
        <is>
          <t>陳族元</t>
        </is>
      </c>
      <c r="H20" s="17" t="n">
        <v>20054</v>
      </c>
      <c r="I20" t="inlineStr">
        <is>
          <t>張濬安</t>
        </is>
      </c>
      <c r="J20" s="18" t="n">
        <v>10923</v>
      </c>
      <c r="K20" t="inlineStr">
        <is>
          <t>林滄海</t>
        </is>
      </c>
      <c r="L20" s="18" t="n">
        <v>5662</v>
      </c>
      <c r="M20" s="19" t="n">
        <v>10</v>
      </c>
      <c r="N20" s="17" t="n">
        <v>56642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陳族元</t>
        </is>
      </c>
      <c r="H21" s="17" t="n">
        <v>12318</v>
      </c>
      <c r="I21" t="inlineStr">
        <is>
          <t>強森</t>
        </is>
      </c>
      <c r="J21" s="18" t="n">
        <v>10983</v>
      </c>
      <c r="K21" t="inlineStr">
        <is>
          <t>張濬安</t>
        </is>
      </c>
      <c r="L21" s="18" t="n">
        <v>9097</v>
      </c>
      <c r="M21" s="19" t="n">
        <v>10</v>
      </c>
      <c r="N21" s="17" t="n">
        <v>55137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13</v>
      </c>
      <c r="F22" s="15" t="n">
        <v>28</v>
      </c>
      <c r="G22" s="16" t="inlineStr">
        <is>
          <t>強森</t>
        </is>
      </c>
      <c r="H22" s="17" t="n">
        <v>11588</v>
      </c>
      <c r="I22" t="inlineStr">
        <is>
          <t>張濬安</t>
        </is>
      </c>
      <c r="J22" s="18" t="n">
        <v>8418</v>
      </c>
      <c r="K22" t="inlineStr">
        <is>
          <t>陳族元</t>
        </is>
      </c>
      <c r="L22" s="18" t="n">
        <v>6689</v>
      </c>
      <c r="M22" s="19" t="n">
        <v>10</v>
      </c>
      <c r="N22" s="17" t="n">
        <v>51909</v>
      </c>
    </row>
    <row r="23">
      <c r="B23" t="n">
        <v>8</v>
      </c>
      <c r="C23" t="inlineStr">
        <is>
          <t>2492</t>
        </is>
      </c>
      <c r="D23" t="inlineStr">
        <is>
          <t>📌 華新科</t>
        </is>
      </c>
      <c r="E23" s="14" t="n">
        <v>12</v>
      </c>
      <c r="F23" s="15" t="n">
        <v>24</v>
      </c>
      <c r="G23" s="16" t="inlineStr">
        <is>
          <t>林滄海</t>
        </is>
      </c>
      <c r="H23" s="17" t="n">
        <v>13548</v>
      </c>
      <c r="I23" t="inlineStr">
        <is>
          <t>強森</t>
        </is>
      </c>
      <c r="J23" s="18" t="n">
        <v>4443</v>
      </c>
      <c r="K23" t="inlineStr">
        <is>
          <t>蔣承翰</t>
        </is>
      </c>
      <c r="L23" s="18" t="n">
        <v>4295</v>
      </c>
      <c r="M23" s="19" t="n">
        <v>9</v>
      </c>
      <c r="N23" s="17" t="n">
        <v>34723</v>
      </c>
    </row>
    <row r="24">
      <c r="B24" t="n">
        <v>9</v>
      </c>
      <c r="C24" t="inlineStr">
        <is>
          <t>2409</t>
        </is>
      </c>
      <c r="D24" s="21" t="inlineStr">
        <is>
          <t>📌 ⚠️ 友達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15108</v>
      </c>
      <c r="I24" t="inlineStr">
        <is>
          <t>張濬安</t>
        </is>
      </c>
      <c r="J24" s="18" t="n">
        <v>4282</v>
      </c>
      <c r="K24" t="inlineStr">
        <is>
          <t>民哥</t>
        </is>
      </c>
      <c r="L24" s="18" t="n">
        <v>1376</v>
      </c>
      <c r="M24" s="19" t="n">
        <v>8</v>
      </c>
      <c r="N24" s="17" t="n">
        <v>24764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5194</v>
      </c>
      <c r="I25" t="inlineStr">
        <is>
          <t>張濬安</t>
        </is>
      </c>
      <c r="J25" s="18" t="n">
        <v>3806</v>
      </c>
      <c r="K25" t="inlineStr">
        <is>
          <t>林滄海</t>
        </is>
      </c>
      <c r="L25" s="18" t="n">
        <v>2785</v>
      </c>
      <c r="M25" s="19" t="n">
        <v>8</v>
      </c>
      <c r="N25" s="17" t="n">
        <v>20867</v>
      </c>
    </row>
    <row r="26">
      <c r="B26" t="n">
        <v>11</v>
      </c>
      <c r="C26" t="inlineStr">
        <is>
          <t>2313</t>
        </is>
      </c>
      <c r="D26" t="inlineStr">
        <is>
          <t>華通</t>
        </is>
      </c>
      <c r="E26" s="14" t="n">
        <v>10</v>
      </c>
      <c r="F26" s="15" t="n">
        <v>18</v>
      </c>
      <c r="G26" s="16" t="inlineStr">
        <is>
          <t>強森</t>
        </is>
      </c>
      <c r="H26" s="17" t="n">
        <v>3212</v>
      </c>
      <c r="I26" t="inlineStr">
        <is>
          <t>林滄海</t>
        </is>
      </c>
      <c r="J26" s="18" t="n">
        <v>2346</v>
      </c>
      <c r="K26" t="inlineStr">
        <is>
          <t>陳族元</t>
        </is>
      </c>
      <c r="L26" s="18" t="n">
        <v>1670</v>
      </c>
      <c r="M26" s="19" t="n">
        <v>7</v>
      </c>
      <c r="N26" s="17" t="n">
        <v>11574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03" t="n">
        <v>-302.14168</v>
      </c>
    </row>
    <row r="30" ht="28" customHeight="1">
      <c r="B30" s="23" t="inlineStr">
        <is>
          <t>Q3 強共識股</t>
        </is>
      </c>
      <c r="C30" s="304" t="n">
        <v>11</v>
      </c>
      <c r="F30" s="23" t="inlineStr">
        <is>
          <t>Q4 追蹤佔比</t>
        </is>
      </c>
      <c r="G30" s="305" t="n">
        <v>0.1842192347854879</v>
      </c>
    </row>
    <row r="31" ht="22" customHeight="1">
      <c r="B31" s="270" t="n">
        <v>10</v>
      </c>
    </row>
    <row r="32" ht="18" customHeight="1">
      <c r="B32" s="29" t="inlineStr">
        <is>
          <t>✅ 過去 30 天 P/C 命中率: 偏多 8/11 (73%) | 偏空 5/5 (100%) | 整體 13/16 (81%)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1076809</v>
      </c>
      <c r="E36" t="inlineStr">
        <is>
          <t>30.1%</t>
        </is>
      </c>
      <c r="F36" t="n">
        <v>1</v>
      </c>
      <c r="G36" s="16" t="inlineStr">
        <is>
          <t>台積電(2330)</t>
        </is>
      </c>
      <c r="H36" s="34" t="n">
        <v>305874</v>
      </c>
      <c r="I36" s="230" t="n">
        <v>-0.0145</v>
      </c>
    </row>
    <row r="37">
      <c r="B37" t="n">
        <v>2</v>
      </c>
      <c r="C37" s="36" t="inlineStr">
        <is>
          <t>陳族元</t>
        </is>
      </c>
      <c r="D37" s="34" t="n">
        <v>842277</v>
      </c>
      <c r="E37" t="inlineStr">
        <is>
          <t>23.5%</t>
        </is>
      </c>
      <c r="F37" t="n">
        <v>2</v>
      </c>
      <c r="G37" s="16" t="inlineStr">
        <is>
          <t>鴻勁(7769)</t>
        </is>
      </c>
      <c r="H37" s="34" t="n">
        <v>104959</v>
      </c>
      <c r="I37" s="212" t="n">
        <v>0.0283</v>
      </c>
    </row>
    <row r="38">
      <c r="B38" t="n">
        <v>3</v>
      </c>
      <c r="C38" s="38" t="inlineStr">
        <is>
          <t>林滄海</t>
        </is>
      </c>
      <c r="D38" s="34" t="n">
        <v>384118</v>
      </c>
      <c r="E38" t="inlineStr">
        <is>
          <t>10.7%</t>
        </is>
      </c>
      <c r="F38" t="n">
        <v>3</v>
      </c>
      <c r="G38" s="16" t="inlineStr">
        <is>
          <t>聯茂(6213)</t>
        </is>
      </c>
      <c r="H38" s="34" t="n">
        <v>102513</v>
      </c>
      <c r="I38" s="230" t="n">
        <v>-0.0559</v>
      </c>
    </row>
    <row r="39">
      <c r="B39" t="n">
        <v>4</v>
      </c>
      <c r="C39" s="39" t="inlineStr">
        <is>
          <t>強森</t>
        </is>
      </c>
      <c r="D39" s="34" t="n">
        <v>276445</v>
      </c>
      <c r="E39" t="inlineStr">
        <is>
          <t>7.7%</t>
        </is>
      </c>
      <c r="F39" t="n">
        <v>4</v>
      </c>
      <c r="G39" s="16" t="inlineStr">
        <is>
          <t>日月光投控(3711)</t>
        </is>
      </c>
      <c r="H39" s="34" t="n">
        <v>71225</v>
      </c>
      <c r="I39" s="230" t="n">
        <v>-0.04389999999999999</v>
      </c>
    </row>
    <row r="40">
      <c r="B40" t="n">
        <v>5</v>
      </c>
      <c r="C40" s="51" t="inlineStr">
        <is>
          <t>蔣承翰</t>
        </is>
      </c>
      <c r="D40" s="34" t="n">
        <v>211345</v>
      </c>
      <c r="E40" t="inlineStr">
        <is>
          <t>5.9%</t>
        </is>
      </c>
      <c r="F40" t="n">
        <v>5</v>
      </c>
      <c r="G40" s="16" t="inlineStr">
        <is>
          <t>台光電(2383)</t>
        </is>
      </c>
      <c r="H40" s="34" t="n">
        <v>68194</v>
      </c>
      <c r="I40" s="212" t="n">
        <v>0.016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2303</t>
        </is>
      </c>
      <c r="D56" s="46" t="n">
        <v>41</v>
      </c>
      <c r="E56" t="n">
        <v>1806660</v>
      </c>
      <c r="F56" t="inlineStr">
        <is>
          <t>張濬安(航海王) 連續 41 天加碼 2303 (累計 1,806,660 萬)</t>
        </is>
      </c>
    </row>
    <row r="57">
      <c r="B57" s="41" t="inlineStr">
        <is>
          <t>🔴 強森</t>
        </is>
      </c>
      <c r="C57" s="41" t="inlineStr">
        <is>
          <t>2454</t>
        </is>
      </c>
      <c r="D57" s="47" t="n">
        <v>41</v>
      </c>
      <c r="E57" s="41" t="n">
        <v>1013643</v>
      </c>
      <c r="F57" s="41" t="inlineStr">
        <is>
          <t>強森 連續 41 天加碼 2454 (累計 1,013,643 萬)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40</v>
      </c>
      <c r="E58" t="n">
        <v>1442965</v>
      </c>
      <c r="F58" t="inlineStr">
        <is>
          <t>張濬安(航海王) 連續 40 天加碼 2327 (累計 1,442,965 萬)</t>
        </is>
      </c>
    </row>
    <row r="59">
      <c r="B59" s="41" t="inlineStr">
        <is>
          <t>🔴 迷你哥/松山哥</t>
        </is>
      </c>
      <c r="C59" s="41" t="inlineStr">
        <is>
          <t>1303</t>
        </is>
      </c>
      <c r="D59" s="47" t="n">
        <v>39</v>
      </c>
      <c r="E59" s="41" t="n">
        <v>2378324</v>
      </c>
      <c r="F59" s="41" t="inlineStr">
        <is>
          <t>迷你哥/松山哥 連續 39 天加碼 1303 (累計 2,378,324 萬)</t>
        </is>
      </c>
    </row>
    <row r="60">
      <c r="B60" t="inlineStr">
        <is>
          <t>🔴 張濬安(航海王)</t>
        </is>
      </c>
      <c r="C60" t="inlineStr">
        <is>
          <t>2454</t>
        </is>
      </c>
      <c r="D60" s="46" t="n">
        <v>38</v>
      </c>
      <c r="E60" t="n">
        <v>1831145</v>
      </c>
      <c r="F60" t="inlineStr">
        <is>
          <t>張濬安(航海王) 連續 38 天加碼 2454 (累計 1,831,145 萬)</t>
        </is>
      </c>
    </row>
    <row r="61">
      <c r="B61" s="41" t="inlineStr">
        <is>
          <t>🔴 強森</t>
        </is>
      </c>
      <c r="C61" s="41" t="inlineStr">
        <is>
          <t>3008</t>
        </is>
      </c>
      <c r="D61" s="47" t="n">
        <v>38</v>
      </c>
      <c r="E61" s="41" t="n">
        <v>630953</v>
      </c>
      <c r="F61" s="41" t="inlineStr">
        <is>
          <t>強森 連續 38 天加碼 3008 (累計 630,953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963956</v>
      </c>
      <c r="D65" t="inlineStr">
        <is>
          <t>台積電(2330)</t>
        </is>
      </c>
      <c r="E65" s="34" t="n">
        <v>125687</v>
      </c>
      <c r="F65" t="inlineStr">
        <is>
          <t>聯茂(6213)</t>
        </is>
      </c>
      <c r="G65" s="34" t="n">
        <v>105058</v>
      </c>
      <c r="H65" t="inlineStr">
        <is>
          <t>台燿(6274)</t>
        </is>
      </c>
      <c r="I65" s="34" t="n">
        <v>89492</v>
      </c>
      <c r="J65" s="213" t="n">
        <v>0.3322113594615687</v>
      </c>
    </row>
    <row r="66">
      <c r="B66" s="36" t="inlineStr">
        <is>
          <t>陳族元</t>
        </is>
      </c>
      <c r="C66" s="34" t="n">
        <v>776696</v>
      </c>
      <c r="D66" t="inlineStr">
        <is>
          <t>台積電(2330)</t>
        </is>
      </c>
      <c r="E66" s="34" t="n">
        <v>94950</v>
      </c>
      <c r="F66" t="inlineStr">
        <is>
          <t>鴻勁(7769)</t>
        </is>
      </c>
      <c r="G66" s="34" t="n">
        <v>72539</v>
      </c>
      <c r="H66" t="inlineStr">
        <is>
          <t>台光電(2383)</t>
        </is>
      </c>
      <c r="I66" s="34" t="n">
        <v>53167</v>
      </c>
      <c r="J66" s="213" t="n">
        <v>0.2840967921147992</v>
      </c>
    </row>
    <row r="67">
      <c r="B67" s="38" t="inlineStr">
        <is>
          <t>林滄海</t>
        </is>
      </c>
      <c r="C67" s="34" t="n">
        <v>351301</v>
      </c>
      <c r="D67" t="inlineStr">
        <is>
          <t>台積電(2330)</t>
        </is>
      </c>
      <c r="E67" s="34" t="n">
        <v>51508</v>
      </c>
      <c r="F67" t="inlineStr">
        <is>
          <t>南亞(1303)</t>
        </is>
      </c>
      <c r="G67" s="34" t="n">
        <v>31533</v>
      </c>
      <c r="H67" t="inlineStr">
        <is>
          <t>富喬(1815)</t>
        </is>
      </c>
      <c r="I67" s="34" t="n">
        <v>18416</v>
      </c>
      <c r="J67" s="213" t="n">
        <v>0.2888056933529063</v>
      </c>
    </row>
    <row r="68">
      <c r="B68" s="39" t="inlineStr">
        <is>
          <t>強森</t>
        </is>
      </c>
      <c r="C68" s="34" t="n">
        <v>241728</v>
      </c>
      <c r="D68" t="inlineStr">
        <is>
          <t>台積電(2330)</t>
        </is>
      </c>
      <c r="E68" s="34" t="n">
        <v>26347</v>
      </c>
      <c r="F68" t="inlineStr">
        <is>
          <t>奇鋐(3017)</t>
        </is>
      </c>
      <c r="G68" s="34" t="n">
        <v>17034</v>
      </c>
      <c r="H68" t="inlineStr">
        <is>
          <t>國巨*(2327)</t>
        </is>
      </c>
      <c r="I68" s="34" t="n">
        <v>15451</v>
      </c>
      <c r="J68" s="213" t="n">
        <v>0.2433789327195315</v>
      </c>
    </row>
    <row r="69">
      <c r="B69" s="51" t="inlineStr">
        <is>
          <t>蔣承翰</t>
        </is>
      </c>
      <c r="C69" s="34" t="n">
        <v>180402</v>
      </c>
      <c r="D69" t="inlineStr">
        <is>
          <t>華經(2468)</t>
        </is>
      </c>
      <c r="E69" s="34" t="n">
        <v>27312</v>
      </c>
      <c r="F69" t="inlineStr">
        <is>
          <t>聯茂(6213)</t>
        </is>
      </c>
      <c r="G69" s="34" t="n">
        <v>19082</v>
      </c>
      <c r="H69" t="inlineStr">
        <is>
          <t>GIS-KY(6456)</t>
        </is>
      </c>
      <c r="I69" s="34" t="n">
        <v>17045</v>
      </c>
      <c r="J69" s="213" t="n">
        <v>0.3516503983605494</v>
      </c>
    </row>
    <row r="70">
      <c r="B70" s="53" t="inlineStr">
        <is>
          <t>竹科主力分點</t>
        </is>
      </c>
      <c r="C70" s="34" t="n">
        <v>139928</v>
      </c>
      <c r="D70" t="inlineStr">
        <is>
          <t>台積電(2330)</t>
        </is>
      </c>
      <c r="E70" s="34" t="n">
        <v>27089</v>
      </c>
      <c r="F70" t="inlineStr">
        <is>
          <t>臻鼎-KY(4958)</t>
        </is>
      </c>
      <c r="G70" s="34" t="n">
        <v>9156</v>
      </c>
      <c r="H70" t="inlineStr">
        <is>
          <t>國巨*(2327)</t>
        </is>
      </c>
      <c r="I70" s="34" t="n">
        <v>9087</v>
      </c>
      <c r="J70" s="213" t="n">
        <v>0.3239703961191359</v>
      </c>
    </row>
    <row r="71">
      <c r="B71" s="37" t="inlineStr">
        <is>
          <t>陳律師</t>
        </is>
      </c>
      <c r="C71" s="34" t="n">
        <v>123721</v>
      </c>
      <c r="D71" t="inlineStr">
        <is>
          <t>臻鼎-KY(4958)</t>
        </is>
      </c>
      <c r="E71" s="34" t="n">
        <v>10679</v>
      </c>
      <c r="F71" t="inlineStr">
        <is>
          <t>聯茂(6213)</t>
        </is>
      </c>
      <c r="G71" s="34" t="n">
        <v>10316</v>
      </c>
      <c r="H71" t="inlineStr">
        <is>
          <t>雙鴻(3324)</t>
        </is>
      </c>
      <c r="I71" s="34" t="n">
        <v>9180</v>
      </c>
      <c r="J71" s="213" t="n">
        <v>0.2438977668320117</v>
      </c>
    </row>
    <row r="72">
      <c r="B72" s="55" t="inlineStr">
        <is>
          <t>大牌分析師</t>
        </is>
      </c>
      <c r="C72" s="34" t="n">
        <v>91734</v>
      </c>
      <c r="D72" t="inlineStr">
        <is>
          <t>台積電(2330)</t>
        </is>
      </c>
      <c r="E72" s="34" t="n">
        <v>10908</v>
      </c>
      <c r="F72" t="inlineStr">
        <is>
          <t>華新科(2492)</t>
        </is>
      </c>
      <c r="G72" s="34" t="n">
        <v>7652</v>
      </c>
      <c r="H72" t="inlineStr">
        <is>
          <t>國巨*(2327)</t>
        </is>
      </c>
      <c r="I72" s="34" t="n">
        <v>5891</v>
      </c>
      <c r="J72" s="213" t="n">
        <v>0.2665372343266775</v>
      </c>
    </row>
    <row r="73">
      <c r="B73" s="54" t="inlineStr">
        <is>
          <t>巨人傑</t>
        </is>
      </c>
      <c r="C73" s="34" t="n">
        <v>90463</v>
      </c>
      <c r="D73" t="inlineStr">
        <is>
          <t>台光電(2383)</t>
        </is>
      </c>
      <c r="E73" s="34" t="n">
        <v>8794</v>
      </c>
      <c r="F73" t="inlineStr">
        <is>
          <t>南亞(1303)</t>
        </is>
      </c>
      <c r="G73" s="34" t="n">
        <v>7791</v>
      </c>
      <c r="H73" t="inlineStr">
        <is>
          <t>臻鼎-KY(4958)</t>
        </is>
      </c>
      <c r="I73" s="34" t="n">
        <v>7066</v>
      </c>
      <c r="J73" s="213" t="n">
        <v>0.2614502487754676</v>
      </c>
    </row>
    <row r="74">
      <c r="B74" s="52" t="inlineStr">
        <is>
          <t>民哥</t>
        </is>
      </c>
      <c r="C74" s="34" t="n">
        <v>88195</v>
      </c>
      <c r="D74" t="inlineStr">
        <is>
          <t>台光電(2383)</t>
        </is>
      </c>
      <c r="E74" s="34" t="n">
        <v>11566</v>
      </c>
      <c r="F74" t="inlineStr">
        <is>
          <t>台積電(2330)</t>
        </is>
      </c>
      <c r="G74" s="34" t="n">
        <v>9426</v>
      </c>
      <c r="H74" t="inlineStr">
        <is>
          <t>東台(4526)</t>
        </is>
      </c>
      <c r="I74" s="34" t="n">
        <v>6768</v>
      </c>
      <c r="J74" s="213" t="n">
        <v>0.3147544478094588</v>
      </c>
    </row>
    <row r="75">
      <c r="B75" s="57" t="inlineStr">
        <is>
          <t>布哥/n_nchang</t>
        </is>
      </c>
      <c r="C75" s="34" t="n">
        <v>56369</v>
      </c>
      <c r="D75" t="inlineStr">
        <is>
          <t>台積電(2330)</t>
        </is>
      </c>
      <c r="E75" s="34" t="n">
        <v>9908</v>
      </c>
      <c r="F75" t="inlineStr">
        <is>
          <t>聯茂(6213)</t>
        </is>
      </c>
      <c r="G75" s="34" t="n">
        <v>9602</v>
      </c>
      <c r="H75" t="inlineStr">
        <is>
          <t>國巨*(2327)</t>
        </is>
      </c>
      <c r="I75" s="34" t="n">
        <v>4172</v>
      </c>
      <c r="J75" s="213" t="n">
        <v>0.4201301419924356</v>
      </c>
    </row>
    <row r="76">
      <c r="B76" s="56" t="inlineStr">
        <is>
          <t>Tradow</t>
        </is>
      </c>
      <c r="C76" s="34" t="n">
        <v>42376</v>
      </c>
      <c r="D76" t="inlineStr">
        <is>
          <t>台積電(2330)</t>
        </is>
      </c>
      <c r="E76" s="34" t="n">
        <v>3930</v>
      </c>
      <c r="F76" t="inlineStr">
        <is>
          <t>聯發科(2454)</t>
        </is>
      </c>
      <c r="G76" s="34" t="n">
        <v>3492</v>
      </c>
      <c r="H76" t="inlineStr">
        <is>
          <t>大世科(8099)</t>
        </is>
      </c>
      <c r="I76" s="34" t="n">
        <v>3019</v>
      </c>
      <c r="J76" s="213" t="n">
        <v>0.2463871400118934</v>
      </c>
    </row>
    <row r="77">
      <c r="B77" s="58" t="inlineStr">
        <is>
          <t>迷你哥/松山哥</t>
        </is>
      </c>
      <c r="C77" s="34" t="n">
        <v>36432</v>
      </c>
      <c r="D77" t="inlineStr">
        <is>
          <t>台積電(2330)</t>
        </is>
      </c>
      <c r="E77" s="34" t="n">
        <v>3939</v>
      </c>
      <c r="F77" t="inlineStr">
        <is>
          <t>國巨*(2327)</t>
        </is>
      </c>
      <c r="G77" s="34" t="n">
        <v>3882</v>
      </c>
      <c r="H77" t="inlineStr">
        <is>
          <t>聯電(2303)</t>
        </is>
      </c>
      <c r="I77" s="34" t="n">
        <v>2998</v>
      </c>
      <c r="J77" s="213" t="n">
        <v>0.2969672515871905</v>
      </c>
    </row>
    <row r="79" ht="22" customHeight="1">
      <c r="B79" s="59" t="inlineStr">
        <is>
          <t>▍ G. 注意股 (資料日 20261027)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20261022)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4" t="n">
        <v>25911</v>
      </c>
      <c r="E85" s="34" t="n">
        <v>2508</v>
      </c>
      <c r="F85" s="214" t="n">
        <v>10.33</v>
      </c>
    </row>
    <row r="86">
      <c r="B86" s="41" t="inlineStr">
        <is>
          <t>00981A</t>
        </is>
      </c>
      <c r="C86" s="41" t="inlineStr">
        <is>
          <t>主動統一台股增長</t>
        </is>
      </c>
      <c r="D86" s="62" t="n">
        <v>17424</v>
      </c>
      <c r="E86" s="62" t="n">
        <v>874</v>
      </c>
      <c r="F86" s="215" t="n">
        <v>19.94</v>
      </c>
    </row>
    <row r="87">
      <c r="B87" s="46" t="inlineStr">
        <is>
          <t>🔴 2883</t>
        </is>
      </c>
      <c r="C87" t="inlineStr">
        <is>
          <t>凱基金</t>
        </is>
      </c>
      <c r="D87" s="34" t="n">
        <v>9763</v>
      </c>
      <c r="E87" s="34" t="n">
        <v>2</v>
      </c>
      <c r="F87" s="217" t="n">
        <v>4881.5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8631</v>
      </c>
      <c r="E88" s="62" t="n">
        <v>2237</v>
      </c>
      <c r="F88" s="215" t="n">
        <v>3.86</v>
      </c>
    </row>
    <row r="89">
      <c r="B89" t="inlineStr">
        <is>
          <t>6770</t>
        </is>
      </c>
      <c r="C89" t="inlineStr">
        <is>
          <t>力積電</t>
        </is>
      </c>
      <c r="D89" s="34" t="n">
        <v>6876</v>
      </c>
      <c r="E89" s="34" t="n">
        <v>211</v>
      </c>
      <c r="F89" s="214" t="n">
        <v>32.59</v>
      </c>
    </row>
    <row r="90">
      <c r="B90" s="41" t="inlineStr">
        <is>
          <t>2887</t>
        </is>
      </c>
      <c r="C90" s="41" t="inlineStr">
        <is>
          <t>台新新光金</t>
        </is>
      </c>
      <c r="D90" s="62" t="n">
        <v>6764</v>
      </c>
      <c r="E90" s="62" t="n">
        <v>18</v>
      </c>
      <c r="F90" s="215" t="n">
        <v>375.78</v>
      </c>
    </row>
    <row r="91">
      <c r="B91" t="inlineStr">
        <is>
          <t>2408</t>
        </is>
      </c>
      <c r="C91" t="inlineStr">
        <is>
          <t>南亞科</t>
        </is>
      </c>
      <c r="D91" s="34" t="n">
        <v>5161</v>
      </c>
      <c r="E91" s="34" t="n">
        <v>714</v>
      </c>
      <c r="F91" s="214" t="n">
        <v>7.23</v>
      </c>
    </row>
    <row r="92">
      <c r="B92" s="41" t="inlineStr">
        <is>
          <t>00753L</t>
        </is>
      </c>
      <c r="C92" s="41" t="inlineStr">
        <is>
          <t>中信中國50正2</t>
        </is>
      </c>
      <c r="D92" s="62" t="n">
        <v>5152</v>
      </c>
      <c r="E92" s="62" t="n">
        <v>12029</v>
      </c>
      <c r="F92" s="215" t="n">
        <v>0.43</v>
      </c>
    </row>
    <row r="93">
      <c r="B93" t="inlineStr">
        <is>
          <t>2492</t>
        </is>
      </c>
      <c r="C93" t="inlineStr">
        <is>
          <t>華新科</t>
        </is>
      </c>
      <c r="D93" s="34" t="n">
        <v>5053</v>
      </c>
      <c r="E93" s="34" t="n">
        <v>395</v>
      </c>
      <c r="F93" s="214" t="n">
        <v>12.79</v>
      </c>
    </row>
    <row r="94">
      <c r="B94" s="41" t="inlineStr">
        <is>
          <t>2312</t>
        </is>
      </c>
      <c r="C94" s="41" t="inlineStr">
        <is>
          <t>金寶</t>
        </is>
      </c>
      <c r="D94" s="62" t="n">
        <v>4724</v>
      </c>
      <c r="E94" s="62" t="n">
        <v>11</v>
      </c>
      <c r="F94" s="215" t="n">
        <v>429.45</v>
      </c>
    </row>
    <row r="95">
      <c r="B95" t="inlineStr">
        <is>
          <t>1303</t>
        </is>
      </c>
      <c r="C95" t="inlineStr">
        <is>
          <t>南亞</t>
        </is>
      </c>
      <c r="D95" s="34" t="n">
        <v>4721</v>
      </c>
      <c r="E95" s="34" t="n">
        <v>613</v>
      </c>
      <c r="F95" s="214" t="n">
        <v>7.7</v>
      </c>
    </row>
    <row r="96">
      <c r="B96" s="41" t="inlineStr">
        <is>
          <t>2891</t>
        </is>
      </c>
      <c r="C96" s="41" t="inlineStr">
        <is>
          <t>中信金</t>
        </is>
      </c>
      <c r="D96" s="62" t="n">
        <v>4647</v>
      </c>
      <c r="E96" s="62" t="n">
        <v>143</v>
      </c>
      <c r="F96" s="215" t="n">
        <v>32.5</v>
      </c>
    </row>
    <row r="97">
      <c r="B97" t="inlineStr">
        <is>
          <t>2449</t>
        </is>
      </c>
      <c r="C97" t="inlineStr">
        <is>
          <t>京元電子</t>
        </is>
      </c>
      <c r="D97" s="34" t="n">
        <v>4252</v>
      </c>
      <c r="E97" s="34" t="n">
        <v>326</v>
      </c>
      <c r="F97" s="214" t="n">
        <v>13.04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4015</v>
      </c>
      <c r="E98" s="62" t="n">
        <v>822</v>
      </c>
      <c r="F98" s="215" t="n">
        <v>4.88</v>
      </c>
    </row>
    <row r="99">
      <c r="B99" t="inlineStr">
        <is>
          <t>00991A</t>
        </is>
      </c>
      <c r="C99" t="inlineStr">
        <is>
          <t>主動復華未來50</t>
        </is>
      </c>
      <c r="D99" s="34" t="n">
        <v>3725</v>
      </c>
      <c r="E99" s="34" t="n">
        <v>45</v>
      </c>
      <c r="F99" s="214" t="n">
        <v>82.78</v>
      </c>
    </row>
    <row r="101" ht="22" customHeight="1">
      <c r="B101" s="67" t="inlineStr">
        <is>
          <t>▍ I. 未來 30 天除權息 (有效 19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20261027</t>
        </is>
      </c>
      <c r="C103" t="inlineStr">
        <is>
          <t>00907</t>
        </is>
      </c>
      <c r="D103" t="inlineStr">
        <is>
          <t>永豐優息存股</t>
        </is>
      </c>
      <c r="E103" t="inlineStr">
        <is>
          <t>息</t>
        </is>
      </c>
      <c r="F103" t="n">
        <v>0.268</v>
      </c>
    </row>
    <row r="104">
      <c r="B104" s="41" t="inlineStr">
        <is>
          <t>20261028</t>
        </is>
      </c>
      <c r="C104" s="41" t="inlineStr">
        <is>
          <t>2025</t>
        </is>
      </c>
      <c r="D104" s="41" t="inlineStr">
        <is>
          <t>千興</t>
        </is>
      </c>
      <c r="E104" s="41" t="inlineStr">
        <is>
          <t>權</t>
        </is>
      </c>
      <c r="F104" s="41" t="n">
        <v>0</v>
      </c>
    </row>
    <row r="105">
      <c r="B105" t="inlineStr">
        <is>
          <t>20261028</t>
        </is>
      </c>
      <c r="C105" t="inlineStr">
        <is>
          <t>4552</t>
        </is>
      </c>
      <c r="D105" t="inlineStr">
        <is>
          <t>力達-KY</t>
        </is>
      </c>
      <c r="E105" t="inlineStr">
        <is>
          <t>息</t>
        </is>
      </c>
      <c r="F105" t="n">
        <v>0.6</v>
      </c>
    </row>
    <row r="106">
      <c r="B106" s="41" t="inlineStr">
        <is>
          <t>20261029</t>
        </is>
      </c>
      <c r="C106" s="41" t="inlineStr">
        <is>
          <t>2762</t>
        </is>
      </c>
      <c r="D106" s="41" t="inlineStr">
        <is>
          <t>世界健身-KY</t>
        </is>
      </c>
      <c r="E106" s="41" t="inlineStr">
        <is>
          <t>息</t>
        </is>
      </c>
      <c r="F106" s="41" t="n">
        <v>1.807197</v>
      </c>
    </row>
    <row r="107">
      <c r="B107" t="inlineStr">
        <is>
          <t>20261029</t>
        </is>
      </c>
      <c r="C107" t="inlineStr">
        <is>
          <t>3563</t>
        </is>
      </c>
      <c r="D107" t="inlineStr">
        <is>
          <t>牧德</t>
        </is>
      </c>
      <c r="E107" t="inlineStr">
        <is>
          <t>息</t>
        </is>
      </c>
      <c r="F107" t="n">
        <v>1</v>
      </c>
    </row>
    <row r="108">
      <c r="B108" s="41" t="inlineStr">
        <is>
          <t>20261029</t>
        </is>
      </c>
      <c r="C108" s="41" t="inlineStr">
        <is>
          <t>5522</t>
        </is>
      </c>
      <c r="D108" s="41" t="inlineStr">
        <is>
          <t>遠雄</t>
        </is>
      </c>
      <c r="E108" s="41" t="inlineStr">
        <is>
          <t>息</t>
        </is>
      </c>
      <c r="F108" s="41" t="n">
        <v>1</v>
      </c>
    </row>
    <row r="109">
      <c r="B109" t="inlineStr">
        <is>
          <t>20261102</t>
        </is>
      </c>
      <c r="C109" t="inlineStr">
        <is>
          <t>6165</t>
        </is>
      </c>
      <c r="D109" t="inlineStr">
        <is>
          <t>浪凡</t>
        </is>
      </c>
      <c r="E109" t="inlineStr">
        <is>
          <t>息</t>
        </is>
      </c>
      <c r="F109" t="n">
        <v>5</v>
      </c>
    </row>
    <row r="110">
      <c r="B110" s="41" t="inlineStr">
        <is>
          <t>20261103</t>
        </is>
      </c>
      <c r="C110" s="41" t="inlineStr">
        <is>
          <t>00406A</t>
        </is>
      </c>
      <c r="D110" s="41" t="inlineStr">
        <is>
          <t>主動中信台灣收益</t>
        </is>
      </c>
      <c r="E110" s="41" t="inlineStr">
        <is>
          <t>息</t>
        </is>
      </c>
      <c r="F110" s="41" t="n"/>
    </row>
    <row r="111">
      <c r="B111" t="inlineStr">
        <is>
          <t>20261103</t>
        </is>
      </c>
      <c r="C111" t="inlineStr">
        <is>
          <t>00939</t>
        </is>
      </c>
      <c r="D111" t="inlineStr">
        <is>
          <t>統一台灣高息動能</t>
        </is>
      </c>
      <c r="E111" t="inlineStr">
        <is>
          <t>息</t>
        </is>
      </c>
    </row>
    <row r="112">
      <c r="B112" s="41" t="inlineStr">
        <is>
          <t>20261103</t>
        </is>
      </c>
      <c r="C112" s="41" t="inlineStr">
        <is>
          <t>00984D</t>
        </is>
      </c>
      <c r="D112" s="41" t="inlineStr">
        <is>
          <t>主動聯博全球非投</t>
        </is>
      </c>
      <c r="E112" s="41" t="inlineStr">
        <is>
          <t>息</t>
        </is>
      </c>
      <c r="F112" s="41" t="n"/>
    </row>
    <row r="113">
      <c r="B113" t="inlineStr">
        <is>
          <t>20261104</t>
        </is>
      </c>
      <c r="C113" t="inlineStr">
        <is>
          <t>00946</t>
        </is>
      </c>
      <c r="D113" t="inlineStr">
        <is>
          <t>群益科技高息成長</t>
        </is>
      </c>
      <c r="E113" t="inlineStr">
        <is>
          <t>息</t>
        </is>
      </c>
    </row>
    <row r="114">
      <c r="B114" s="41" t="inlineStr">
        <is>
          <t>20261104</t>
        </is>
      </c>
      <c r="C114" s="41" t="inlineStr">
        <is>
          <t>00953B</t>
        </is>
      </c>
      <c r="D114" s="41" t="inlineStr">
        <is>
          <t>群益優選非投等債</t>
        </is>
      </c>
      <c r="E114" s="41" t="inlineStr">
        <is>
          <t>息</t>
        </is>
      </c>
      <c r="F114" s="41" t="n"/>
    </row>
    <row r="115">
      <c r="B115" t="inlineStr">
        <is>
          <t>20261104</t>
        </is>
      </c>
      <c r="C115" t="inlineStr">
        <is>
          <t>00985B</t>
        </is>
      </c>
      <c r="D115" t="inlineStr">
        <is>
          <t>群益ESG投等債0-5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020036</t>
        </is>
      </c>
      <c r="D116" s="41" t="inlineStr">
        <is>
          <t>元大金融配息N</t>
        </is>
      </c>
      <c r="E116" s="41" t="inlineStr">
        <is>
          <t>息</t>
        </is>
      </c>
      <c r="F116" s="41" t="n">
        <v>0.4</v>
      </c>
    </row>
    <row r="117">
      <c r="B117" t="inlineStr">
        <is>
          <t>20261104</t>
        </is>
      </c>
      <c r="C117" t="inlineStr">
        <is>
          <t>8467</t>
        </is>
      </c>
      <c r="D117" t="inlineStr">
        <is>
          <t>波力-KY</t>
        </is>
      </c>
      <c r="E117" t="inlineStr">
        <is>
          <t>息</t>
        </is>
      </c>
      <c r="F117" t="n">
        <v>2</v>
      </c>
    </row>
  </sheetData>
  <mergeCells count="28">
    <mergeCell ref="C30:D30"/>
    <mergeCell ref="B9:N9"/>
    <mergeCell ref="B81:F81"/>
    <mergeCell ref="B101:J101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63:J63"/>
    <mergeCell ref="B79:J79"/>
    <mergeCell ref="B11:N11"/>
    <mergeCell ref="B2:N2"/>
    <mergeCell ref="B54:J54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2026/10/22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聯茂 (6213) · 10 大戶</t>
        </is>
      </c>
    </row>
    <row r="10">
      <c r="C10" s="73" t="inlineStr">
        <is>
          <t>③ 日月光投控 (3711) · 10 大戶</t>
        </is>
      </c>
    </row>
    <row r="11">
      <c r="C11" s="73" t="inlineStr">
        <is>
          <t>④ 南亞 (1303) · 11 大戶</t>
        </is>
      </c>
    </row>
    <row r="12">
      <c r="C12" s="73" t="inlineStr">
        <is>
          <t>⑤ 聯發科 (2454)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(45%)</t>
        </is>
      </c>
    </row>
    <row r="16">
      <c r="C16" s="73" t="inlineStr">
        <is>
          <t>半導體業 · 4 檔 (36%)</t>
        </is>
      </c>
    </row>
    <row r="17">
      <c r="C17" s="73" t="inlineStr">
        <is>
          <t>塑膠工業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10,908 萬 (★共識)</t>
        </is>
      </c>
    </row>
    <row r="21">
      <c r="C21" s="73" t="inlineStr">
        <is>
          <t>華新科 (2492) · 7,652 萬 (★共識)</t>
        </is>
      </c>
    </row>
    <row r="22">
      <c r="C22" s="73" t="inlineStr">
        <is>
          <t>國巨* (2327) · 5,891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-302 億 淨買</t>
        </is>
      </c>
    </row>
    <row r="30">
      <c r="C30" s="75" t="inlineStr">
        <is>
          <t>比昨 -42 擴空 / 比 5d -121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57/57 交易日出手 2737 次 (496 檔), 風格分布: 隔日沖近似 36% / 當沖 13% / 留倉 51%, 漲停命中 2% (其中 🔒鎖漲停 2%), 前 5 大集中 23%, 長線部位 67% (51 檔), ⚠️ 處置股部位 2% (14 檔), 📦 連續囤貨 48 檔 (最長 17 天 00918, 12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10908</v>
      </c>
      <c r="F12" s="34" t="n">
        <v>0</v>
      </c>
      <c r="G12" s="230" t="n">
        <v>-0.0145</v>
      </c>
    </row>
    <row r="13">
      <c r="B13" t="n">
        <v>2</v>
      </c>
      <c r="C13" t="inlineStr">
        <is>
          <t>2492</t>
        </is>
      </c>
      <c r="D13" t="inlineStr">
        <is>
          <t>華新科</t>
        </is>
      </c>
      <c r="E13" s="34" t="n">
        <v>7652</v>
      </c>
      <c r="F13" s="34" t="n">
        <v>0</v>
      </c>
      <c r="G13" s="230" t="n">
        <v>-0.0925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4" t="n">
        <v>5891</v>
      </c>
      <c r="F14" s="34" t="n">
        <v>0</v>
      </c>
      <c r="G14" s="230" t="n">
        <v>-0.0646</v>
      </c>
    </row>
    <row r="15">
      <c r="B15" t="n">
        <v>4</v>
      </c>
      <c r="C15" t="inlineStr">
        <is>
          <t>6213</t>
        </is>
      </c>
      <c r="D15" t="inlineStr">
        <is>
          <t>聯茂</t>
        </is>
      </c>
      <c r="E15" s="34" t="n">
        <v>5098</v>
      </c>
      <c r="F15" s="34" t="n">
        <v>0</v>
      </c>
      <c r="G15" s="230" t="n">
        <v>-0.0559</v>
      </c>
    </row>
    <row r="16">
      <c r="B16" t="n">
        <v>5</v>
      </c>
      <c r="C16" t="inlineStr">
        <is>
          <t>2308</t>
        </is>
      </c>
      <c r="D16" t="inlineStr">
        <is>
          <t>台達電</t>
        </is>
      </c>
      <c r="E16" s="34" t="n">
        <v>4703</v>
      </c>
      <c r="F16" s="34" t="n">
        <v>0</v>
      </c>
      <c r="G16" s="230" t="n">
        <v>-0.04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4" t="n">
        <v>4699</v>
      </c>
      <c r="F17" s="34" t="n">
        <v>0</v>
      </c>
      <c r="G17" s="230" t="n">
        <v>-0.0519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4" t="n">
        <v>4647</v>
      </c>
      <c r="F18" s="34" t="n">
        <v>0</v>
      </c>
      <c r="G18" s="230" t="n">
        <v>-0.0608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4087</v>
      </c>
      <c r="F19" s="34" t="n">
        <v>0</v>
      </c>
      <c r="G19" s="230" t="n">
        <v>-0.019</v>
      </c>
    </row>
    <row r="20">
      <c r="B20" t="n">
        <v>9</v>
      </c>
      <c r="C20" t="inlineStr">
        <is>
          <t>3037</t>
        </is>
      </c>
      <c r="D20" t="inlineStr">
        <is>
          <t>欣興</t>
        </is>
      </c>
      <c r="E20" s="34" t="n">
        <v>3883</v>
      </c>
      <c r="F20" s="34" t="n">
        <v>0</v>
      </c>
      <c r="G20" s="230" t="n">
        <v>-0.0136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4" t="n">
        <v>3750</v>
      </c>
      <c r="F21" s="34" t="n">
        <v>0</v>
      </c>
      <c r="G21" s="230" t="n">
        <v>-0.0314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A3" s="119" t="n"/>
      <c r="B3" s="119" t="n"/>
      <c r="C3" s="119" t="n"/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A12" s="121" t="n"/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A13" s="119" t="n"/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A14" s="119" t="n"/>
      <c r="B14" s="119" t="n"/>
      <c r="C14" s="119" t="n"/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A23" s="121" t="n"/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A24" s="119" t="n"/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A25" s="119" t="n"/>
      <c r="B25" s="119" t="n"/>
      <c r="C25" s="119" t="n"/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A36" s="127" t="n"/>
      <c r="B36" s="127" t="n"/>
      <c r="C36" s="127" t="n"/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A45" s="128" t="n"/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A46" s="127" t="n"/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A47" s="127" t="n"/>
      <c r="B47" s="127" t="n"/>
      <c r="C47" s="127" t="n"/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A56" s="128" t="n"/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A57" s="127" t="n"/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A58" s="127" t="n"/>
      <c r="B58" s="127" t="n"/>
      <c r="C58" s="127" t="n"/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A67" s="128" t="n"/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A68" s="127" t="n"/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A69" s="127" t="n"/>
      <c r="B69" s="127" t="n"/>
      <c r="C69" s="127" t="n"/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A80" s="134" t="n"/>
      <c r="B80" s="134" t="n"/>
      <c r="C80" s="134" t="n"/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A89" s="135" t="n"/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A90" s="134" t="n"/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A91" s="134" t="n"/>
      <c r="B91" s="134" t="n"/>
      <c r="C91" s="134" t="n"/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A100" s="135" t="n"/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A101" s="134" t="n"/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A102" s="134" t="n"/>
      <c r="B102" s="134" t="n"/>
      <c r="C102" s="134" t="n"/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A111" s="135" t="n"/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A112" s="134" t="n"/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A113" s="134" t="n"/>
      <c r="B113" s="134" t="n"/>
      <c r="C113" s="134" t="n"/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A122" s="135" t="n"/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A123" s="134" t="n"/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A124" s="134" t="n"/>
      <c r="B124" s="134" t="n"/>
      <c r="C124" s="134" t="n"/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A133" s="135" t="n"/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A134" s="134" t="n"/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A135" s="134" t="n"/>
      <c r="B135" s="134" t="n"/>
      <c r="C135" s="134" t="n"/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A146" s="141" t="n"/>
      <c r="B146" s="141" t="n"/>
      <c r="C146" s="141" t="n"/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A155" s="142" t="n"/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A156" s="141" t="n"/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A157" s="141" t="n"/>
      <c r="B157" s="141" t="n"/>
      <c r="C157" s="141" t="n"/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A166" s="142" t="n"/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A167" s="141" t="n"/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A168" s="141" t="n"/>
      <c r="B168" s="141" t="n"/>
      <c r="C168" s="141" t="n"/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A177" s="142" t="n"/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A178" s="141" t="n"/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A179" s="141" t="n"/>
      <c r="B179" s="141" t="n"/>
      <c r="C179" s="141" t="n"/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A188" s="142" t="n"/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A189" s="141" t="n"/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南亞(1303)</t>
        </is>
      </c>
      <c r="E189" s="139" t="n">
        <v>330</v>
      </c>
      <c r="F189" s="139" t="n">
        <v>41</v>
      </c>
      <c r="G189" s="139" t="n">
        <v>10098</v>
      </c>
      <c r="H189" s="139" t="n">
        <v>1280</v>
      </c>
      <c r="I189" s="139" t="n">
        <v>8818</v>
      </c>
      <c r="J189" s="140" t="n">
        <v>306.01</v>
      </c>
      <c r="K189" s="140" t="n">
        <v>312.2</v>
      </c>
      <c r="L189" s="232">
        <f>F189*(K189-J189)</f>
        <v/>
      </c>
    </row>
    <row r="190" ht="16.5" customHeight="1">
      <c r="A190" s="141" t="n"/>
      <c r="B190" s="141" t="n"/>
      <c r="C190" s="141" t="n"/>
      <c r="D190" s="138" t="inlineStr">
        <is>
          <t>金居(8358)</t>
        </is>
      </c>
      <c r="E190" s="139" t="n">
        <v>102</v>
      </c>
      <c r="F190" s="139" t="n">
        <v>37</v>
      </c>
      <c r="G190" s="139" t="n">
        <v>4601</v>
      </c>
      <c r="H190" s="139" t="n">
        <v>1678</v>
      </c>
      <c r="I190" s="139" t="n">
        <v>2923</v>
      </c>
      <c r="J190" s="140" t="n">
        <v>451.04</v>
      </c>
      <c r="K190" s="140" t="n">
        <v>453.54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7</v>
      </c>
      <c r="F191" s="139" t="n">
        <v>4</v>
      </c>
      <c r="G191" s="139" t="n">
        <v>2788</v>
      </c>
      <c r="H191" s="139" t="n">
        <v>1769</v>
      </c>
      <c r="I191" s="139" t="n">
        <v>1019</v>
      </c>
      <c r="J191" s="140" t="n">
        <v>3983.14</v>
      </c>
      <c r="K191" s="140" t="n">
        <v>4423.25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精材(3374)</t>
        </is>
      </c>
      <c r="E192" s="139" t="n">
        <v>58</v>
      </c>
      <c r="F192" s="139" t="n">
        <v>33</v>
      </c>
      <c r="G192" s="139" t="n">
        <v>2672</v>
      </c>
      <c r="H192" s="139" t="n">
        <v>1521</v>
      </c>
      <c r="I192" s="139" t="n">
        <v>1151</v>
      </c>
      <c r="J192" s="140" t="n">
        <v>460.6</v>
      </c>
      <c r="K192" s="140" t="n">
        <v>460.88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禾伸堂(3026)</t>
        </is>
      </c>
      <c r="E193" s="139" t="n">
        <v>33</v>
      </c>
      <c r="F193" s="139" t="n">
        <v>12</v>
      </c>
      <c r="G193" s="139" t="n">
        <v>2494</v>
      </c>
      <c r="H193" s="139" t="n">
        <v>876</v>
      </c>
      <c r="I193" s="139" t="n">
        <v>1618</v>
      </c>
      <c r="J193" s="140" t="n">
        <v>755.76</v>
      </c>
      <c r="K193" s="140" t="n">
        <v>729.92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尖點(8021)</t>
        </is>
      </c>
      <c r="E194" s="139" t="n">
        <v>40</v>
      </c>
      <c r="F194" s="139" t="n">
        <v>3</v>
      </c>
      <c r="G194" s="139" t="n">
        <v>1938</v>
      </c>
      <c r="H194" s="139" t="n">
        <v>152</v>
      </c>
      <c r="I194" s="139" t="n">
        <v>1786</v>
      </c>
      <c r="J194" s="140" t="n">
        <v>484.4</v>
      </c>
      <c r="K194" s="140" t="n">
        <v>506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創意(3443)</t>
        </is>
      </c>
      <c r="E195" s="139" t="n">
        <v>2</v>
      </c>
      <c r="F195" s="139" t="n">
        <v>1</v>
      </c>
      <c r="G195" s="139" t="n">
        <v>1716</v>
      </c>
      <c r="H195" s="139" t="n">
        <v>844</v>
      </c>
      <c r="I195" s="139" t="n">
        <v>872</v>
      </c>
      <c r="J195" s="140" t="n">
        <v>8578</v>
      </c>
      <c r="K195" s="140" t="n">
        <v>8443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營邦(3693)</t>
        </is>
      </c>
      <c r="E196" s="139" t="n">
        <v>26</v>
      </c>
      <c r="F196" s="139" t="n">
        <v>1</v>
      </c>
      <c r="G196" s="139" t="n">
        <v>1661</v>
      </c>
      <c r="H196" s="139" t="n">
        <v>65</v>
      </c>
      <c r="I196" s="139" t="n">
        <v>1596</v>
      </c>
      <c r="J196" s="140" t="n">
        <v>638.92</v>
      </c>
      <c r="K196" s="140" t="n">
        <v>654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今國光(6209)</t>
        </is>
      </c>
      <c r="E197" s="139" t="n">
        <v>143</v>
      </c>
      <c r="F197" s="139" t="n">
        <v>3</v>
      </c>
      <c r="G197" s="139" t="n">
        <v>1584</v>
      </c>
      <c r="H197" s="139" t="n">
        <v>34</v>
      </c>
      <c r="I197" s="139" t="n">
        <v>1550</v>
      </c>
      <c r="J197" s="140" t="n">
        <v>110.77</v>
      </c>
      <c r="K197" s="140" t="n">
        <v>112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10</v>
      </c>
      <c r="F198" s="139" t="n">
        <v>1</v>
      </c>
      <c r="G198" s="139" t="n">
        <v>1516</v>
      </c>
      <c r="H198" s="139" t="n">
        <v>172</v>
      </c>
      <c r="I198" s="139" t="n">
        <v>1344</v>
      </c>
      <c r="J198" s="140" t="n">
        <v>1516.5</v>
      </c>
      <c r="K198" s="140" t="n">
        <v>1720</v>
      </c>
      <c r="L198" s="232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A201" s="148" t="n"/>
      <c r="B201" s="148" t="n"/>
      <c r="C201" s="148" t="n"/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A210" s="149" t="n"/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A211" s="148" t="n"/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A212" s="148" t="n"/>
      <c r="B212" s="148" t="n"/>
      <c r="C212" s="148" t="n"/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A221" s="149" t="n"/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A222" s="148" t="n"/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A223" s="148" t="n"/>
      <c r="B223" s="148" t="n"/>
      <c r="C223" s="148" t="n"/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A232" s="149" t="n"/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A233" s="148" t="n"/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A234" s="148" t="n"/>
      <c r="B234" s="148" t="n"/>
      <c r="C234" s="148" t="n"/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A254" s="156" t="n"/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A265" s="156" t="n"/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A278" s="162" t="n"/>
      <c r="B278" s="162" t="n"/>
      <c r="C278" s="162" t="n"/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A289" s="168" t="n"/>
      <c r="B289" s="168" t="n"/>
      <c r="C289" s="168" t="n"/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A298" s="169" t="n"/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A299" s="168" t="n"/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A300" s="168" t="n"/>
      <c r="B300" s="168" t="n"/>
      <c r="C300" s="168" t="n"/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A309" s="169" t="n"/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A310" s="168" t="n"/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A311" s="168" t="n"/>
      <c r="B311" s="168" t="n"/>
      <c r="C311" s="168" t="n"/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A320" s="169" t="n"/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A321" s="168" t="n"/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A322" s="168" t="n"/>
      <c r="B322" s="168" t="n"/>
      <c r="C322" s="168" t="n"/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A331" s="169" t="n"/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A332" s="168" t="n"/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A333" s="168" t="n"/>
      <c r="B333" s="168" t="n"/>
      <c r="C333" s="168" t="n"/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A342" s="169" t="n"/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A343" s="168" t="n"/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A344" s="168" t="n"/>
      <c r="B344" s="168" t="n"/>
      <c r="C344" s="168" t="n"/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A353" s="169" t="n"/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A354" s="168" t="n"/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A355" s="168" t="n"/>
      <c r="B355" s="168" t="n"/>
      <c r="C355" s="168" t="n"/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A366" s="175" t="n"/>
      <c r="B366" s="175" t="n"/>
      <c r="C366" s="175" t="n"/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A377" s="181" t="n"/>
      <c r="B377" s="181" t="n"/>
      <c r="C377" s="181" t="n"/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A386" s="182" t="n"/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A387" s="181" t="n"/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A388" s="181" t="n"/>
      <c r="B388" s="181" t="n"/>
      <c r="C388" s="181" t="n"/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A397" s="182" t="n"/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A398" s="181" t="n"/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A399" s="181" t="n"/>
      <c r="B399" s="181" t="n"/>
      <c r="C399" s="181" t="n"/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A410" s="188" t="n"/>
      <c r="B410" s="188" t="n"/>
      <c r="C410" s="188" t="n"/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A411" s="188" t="n"/>
      <c r="B411" s="188" t="n"/>
      <c r="C411" s="188" t="n"/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9" t="n"/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A420" s="188" t="n"/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A421" s="188" t="n"/>
      <c r="B421" s="188" t="n"/>
      <c r="C421" s="188" t="n"/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9" t="n"/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A431" s="188" t="n"/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A432" s="188" t="n"/>
      <c r="B432" s="188" t="n"/>
      <c r="C432" s="188" t="n"/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A443" s="197" t="n"/>
      <c r="B443" s="197" t="n"/>
      <c r="C443" s="197" t="n"/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A464" s="203" t="n"/>
      <c r="B464" s="203" t="n"/>
      <c r="C464" s="203" t="n"/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A473" s="204" t="n"/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A474" s="203" t="n"/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A475" s="203" t="n"/>
      <c r="B475" s="203" t="n"/>
      <c r="C475" s="203" t="n"/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20:19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2026-10-26T20:19:52Z</dcterms:modified>
</cp:coreProperties>
</file>